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\Desktop\"/>
    </mc:Choice>
  </mc:AlternateContent>
  <bookViews>
    <workbookView xWindow="0" yWindow="3015" windowWidth="16110" windowHeight="9840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13" i="1" l="1"/>
  <c r="K213" i="1"/>
  <c r="J213" i="1"/>
  <c r="H213" i="1"/>
  <c r="L212" i="1"/>
  <c r="K212" i="1"/>
  <c r="J212" i="1"/>
  <c r="H212" i="1"/>
  <c r="L211" i="1"/>
  <c r="K211" i="1"/>
  <c r="J211" i="1"/>
  <c r="H211" i="1"/>
  <c r="L210" i="1"/>
  <c r="L209" i="1"/>
  <c r="L178" i="1"/>
  <c r="K178" i="1"/>
  <c r="J178" i="1"/>
  <c r="H178" i="1"/>
  <c r="L177" i="1"/>
  <c r="K177" i="1"/>
  <c r="J177" i="1"/>
  <c r="H177" i="1"/>
  <c r="L176" i="1"/>
  <c r="K176" i="1"/>
  <c r="J176" i="1"/>
  <c r="H176" i="1"/>
  <c r="L175" i="1"/>
  <c r="K175" i="1"/>
  <c r="J175" i="1"/>
  <c r="H175" i="1"/>
  <c r="L174" i="1"/>
  <c r="K174" i="1"/>
  <c r="J174" i="1"/>
  <c r="H174" i="1"/>
  <c r="L128" i="1"/>
  <c r="K128" i="1"/>
  <c r="J128" i="1"/>
  <c r="H128" i="1"/>
  <c r="L127" i="1"/>
  <c r="K127" i="1"/>
  <c r="J127" i="1"/>
  <c r="H127" i="1"/>
  <c r="L126" i="1"/>
  <c r="K126" i="1"/>
  <c r="J126" i="1"/>
  <c r="H126" i="1"/>
  <c r="L114" i="1"/>
  <c r="K114" i="1"/>
  <c r="J114" i="1"/>
  <c r="H114" i="1"/>
  <c r="L113" i="1"/>
  <c r="K113" i="1"/>
  <c r="J113" i="1"/>
  <c r="H113" i="1"/>
  <c r="L80" i="1"/>
  <c r="K80" i="1"/>
  <c r="J80" i="1"/>
  <c r="H80" i="1"/>
  <c r="L79" i="1"/>
  <c r="K79" i="1"/>
  <c r="J79" i="1"/>
  <c r="H79" i="1"/>
  <c r="L78" i="1"/>
  <c r="K78" i="1"/>
  <c r="J78" i="1"/>
  <c r="H78" i="1"/>
  <c r="L77" i="1"/>
  <c r="K77" i="1"/>
  <c r="J77" i="1"/>
  <c r="H77" i="1"/>
  <c r="L51" i="1" l="1"/>
  <c r="K51" i="1"/>
  <c r="J51" i="1"/>
  <c r="H51" i="1"/>
  <c r="L41" i="1"/>
  <c r="K41" i="1"/>
  <c r="J41" i="1"/>
  <c r="H41" i="1"/>
  <c r="L40" i="1"/>
  <c r="K40" i="1"/>
  <c r="J40" i="1"/>
  <c r="H40" i="1"/>
  <c r="L112" i="1" l="1"/>
  <c r="K112" i="1"/>
  <c r="J112" i="1"/>
  <c r="H112" i="1"/>
  <c r="L208" i="1"/>
  <c r="K208" i="1"/>
  <c r="J208" i="1"/>
  <c r="H208" i="1"/>
  <c r="L172" i="1"/>
  <c r="K172" i="1"/>
  <c r="J172" i="1"/>
  <c r="H172" i="1"/>
  <c r="L111" i="1"/>
  <c r="K111" i="1"/>
  <c r="J111" i="1"/>
  <c r="H111" i="1"/>
  <c r="L110" i="1"/>
  <c r="K110" i="1"/>
  <c r="J110" i="1"/>
  <c r="H110" i="1"/>
  <c r="L167" i="1"/>
  <c r="K167" i="1"/>
  <c r="J167" i="1"/>
  <c r="H167" i="1"/>
  <c r="L166" i="1"/>
  <c r="K166" i="1"/>
  <c r="J166" i="1"/>
  <c r="H166" i="1"/>
  <c r="L165" i="1"/>
  <c r="K165" i="1"/>
  <c r="J165" i="1"/>
  <c r="H165" i="1"/>
  <c r="L164" i="1"/>
  <c r="K164" i="1"/>
  <c r="J164" i="1"/>
  <c r="H164" i="1"/>
  <c r="L163" i="1"/>
  <c r="K163" i="1"/>
  <c r="J163" i="1"/>
  <c r="H163" i="1"/>
  <c r="L162" i="1"/>
  <c r="K162" i="1"/>
  <c r="J162" i="1"/>
  <c r="H162" i="1"/>
  <c r="L161" i="1"/>
  <c r="K161" i="1"/>
  <c r="J161" i="1"/>
  <c r="H161" i="1"/>
  <c r="L125" i="1"/>
  <c r="K125" i="1"/>
  <c r="J125" i="1"/>
  <c r="H125" i="1"/>
  <c r="L123" i="1"/>
  <c r="K123" i="1"/>
  <c r="J123" i="1"/>
  <c r="H123" i="1"/>
  <c r="L122" i="1"/>
  <c r="K122" i="1"/>
  <c r="J122" i="1"/>
  <c r="H122" i="1"/>
  <c r="L108" i="1"/>
  <c r="K108" i="1"/>
  <c r="J108" i="1"/>
  <c r="H108" i="1"/>
  <c r="L107" i="1"/>
  <c r="K107" i="1"/>
  <c r="J107" i="1"/>
  <c r="H107" i="1"/>
  <c r="L75" i="1"/>
  <c r="K75" i="1"/>
  <c r="J75" i="1"/>
  <c r="H75" i="1"/>
  <c r="L74" i="1"/>
  <c r="K74" i="1"/>
  <c r="J74" i="1"/>
  <c r="H74" i="1"/>
  <c r="L54" i="1"/>
  <c r="K54" i="1"/>
  <c r="J54" i="1"/>
  <c r="H54" i="1"/>
  <c r="L42" i="1"/>
  <c r="K42" i="1"/>
  <c r="J42" i="1"/>
  <c r="H42" i="1"/>
  <c r="L39" i="1"/>
  <c r="K39" i="1"/>
  <c r="J39" i="1"/>
  <c r="H39" i="1"/>
  <c r="L38" i="1"/>
  <c r="K38" i="1"/>
  <c r="J38" i="1"/>
  <c r="H38" i="1"/>
  <c r="H37" i="1"/>
  <c r="L205" i="1"/>
  <c r="K205" i="1"/>
  <c r="J205" i="1"/>
  <c r="H205" i="1"/>
  <c r="L204" i="1"/>
  <c r="K204" i="1"/>
  <c r="J204" i="1"/>
  <c r="H204" i="1"/>
  <c r="H140" i="1"/>
  <c r="L139" i="1"/>
  <c r="K139" i="1"/>
  <c r="J139" i="1"/>
  <c r="H139" i="1"/>
  <c r="L207" i="1"/>
  <c r="K207" i="1"/>
  <c r="J207" i="1"/>
  <c r="H207" i="1"/>
  <c r="L206" i="1"/>
  <c r="K206" i="1"/>
  <c r="J206" i="1"/>
  <c r="H206" i="1"/>
  <c r="L203" i="1"/>
  <c r="K203" i="1"/>
  <c r="J203" i="1"/>
  <c r="H203" i="1"/>
  <c r="L202" i="1"/>
  <c r="K202" i="1"/>
  <c r="J202" i="1"/>
  <c r="H202" i="1"/>
  <c r="L201" i="1"/>
  <c r="K201" i="1"/>
  <c r="J201" i="1"/>
  <c r="H201" i="1"/>
  <c r="L198" i="1"/>
  <c r="K198" i="1"/>
  <c r="J198" i="1"/>
  <c r="H198" i="1"/>
  <c r="L195" i="1"/>
  <c r="L194" i="1"/>
  <c r="K194" i="1"/>
  <c r="J194" i="1"/>
  <c r="H194" i="1"/>
  <c r="L192" i="1"/>
  <c r="K192" i="1"/>
  <c r="J192" i="1"/>
  <c r="H192" i="1"/>
  <c r="L191" i="1"/>
  <c r="K191" i="1"/>
  <c r="J191" i="1"/>
  <c r="H191" i="1"/>
  <c r="L140" i="1"/>
  <c r="K140" i="1"/>
  <c r="J140" i="1"/>
  <c r="L138" i="1"/>
  <c r="K138" i="1"/>
  <c r="J138" i="1"/>
  <c r="H138" i="1"/>
  <c r="L137" i="1"/>
  <c r="K137" i="1"/>
  <c r="J137" i="1"/>
  <c r="H137" i="1"/>
  <c r="L189" i="1"/>
  <c r="K189" i="1"/>
  <c r="J189" i="1"/>
  <c r="H189" i="1"/>
  <c r="L188" i="1"/>
  <c r="K188" i="1"/>
  <c r="J188" i="1"/>
  <c r="H188" i="1"/>
  <c r="L179" i="1"/>
  <c r="K179" i="1"/>
  <c r="J179" i="1"/>
  <c r="H179" i="1"/>
  <c r="L173" i="1"/>
  <c r="K173" i="1"/>
  <c r="J173" i="1"/>
  <c r="H173" i="1"/>
  <c r="L171" i="1"/>
  <c r="K171" i="1"/>
  <c r="J171" i="1"/>
  <c r="H171" i="1"/>
  <c r="L170" i="1"/>
  <c r="K170" i="1"/>
  <c r="J170" i="1"/>
  <c r="H170" i="1"/>
  <c r="L169" i="1"/>
  <c r="K169" i="1"/>
  <c r="J169" i="1"/>
  <c r="H169" i="1"/>
  <c r="L168" i="1"/>
  <c r="K168" i="1"/>
  <c r="J168" i="1"/>
  <c r="H168" i="1"/>
  <c r="L160" i="1"/>
  <c r="K160" i="1"/>
  <c r="J160" i="1"/>
  <c r="H160" i="1"/>
  <c r="L159" i="1"/>
  <c r="K159" i="1"/>
  <c r="J159" i="1"/>
  <c r="H159" i="1"/>
  <c r="L158" i="1"/>
  <c r="K158" i="1"/>
  <c r="J158" i="1"/>
  <c r="L157" i="1"/>
  <c r="K157" i="1"/>
  <c r="J157" i="1"/>
  <c r="H157" i="1"/>
  <c r="L156" i="1"/>
  <c r="K156" i="1"/>
  <c r="J156" i="1"/>
  <c r="H156" i="1"/>
  <c r="L155" i="1"/>
  <c r="K155" i="1"/>
  <c r="J155" i="1"/>
  <c r="H155" i="1"/>
  <c r="L154" i="1"/>
  <c r="K154" i="1"/>
  <c r="J154" i="1"/>
  <c r="H154" i="1"/>
  <c r="L153" i="1"/>
  <c r="K153" i="1"/>
  <c r="J153" i="1"/>
  <c r="H153" i="1"/>
  <c r="L152" i="1"/>
  <c r="K152" i="1"/>
  <c r="J152" i="1"/>
  <c r="H152" i="1"/>
  <c r="L151" i="1"/>
  <c r="K151" i="1"/>
  <c r="J151" i="1"/>
  <c r="H151" i="1"/>
  <c r="L150" i="1"/>
  <c r="K150" i="1"/>
  <c r="J150" i="1"/>
  <c r="H150" i="1"/>
  <c r="L149" i="1"/>
  <c r="K149" i="1"/>
  <c r="J149" i="1"/>
  <c r="H149" i="1"/>
  <c r="L148" i="1"/>
  <c r="K148" i="1"/>
  <c r="J148" i="1"/>
  <c r="H148" i="1"/>
  <c r="L147" i="1"/>
  <c r="K147" i="1"/>
  <c r="J147" i="1"/>
  <c r="H147" i="1"/>
  <c r="L145" i="1"/>
  <c r="K145" i="1"/>
  <c r="J145" i="1"/>
  <c r="H145" i="1"/>
  <c r="L144" i="1"/>
  <c r="K144" i="1"/>
  <c r="J144" i="1"/>
  <c r="H144" i="1"/>
  <c r="L143" i="1"/>
  <c r="K143" i="1"/>
  <c r="J143" i="1"/>
  <c r="H143" i="1"/>
  <c r="L142" i="1"/>
  <c r="L129" i="1"/>
  <c r="K129" i="1"/>
  <c r="J129" i="1"/>
  <c r="H129" i="1"/>
  <c r="L124" i="1"/>
  <c r="K124" i="1"/>
  <c r="J124" i="1"/>
  <c r="H124" i="1"/>
  <c r="L121" i="1"/>
  <c r="K121" i="1"/>
  <c r="J121" i="1"/>
  <c r="H121" i="1"/>
  <c r="L120" i="1"/>
  <c r="K120" i="1"/>
  <c r="J120" i="1"/>
  <c r="H120" i="1"/>
  <c r="L118" i="1"/>
  <c r="K118" i="1"/>
  <c r="J118" i="1"/>
  <c r="H118" i="1"/>
  <c r="L115" i="1"/>
  <c r="K115" i="1"/>
  <c r="J115" i="1"/>
  <c r="H115" i="1"/>
  <c r="L109" i="1"/>
  <c r="K109" i="1"/>
  <c r="J109" i="1"/>
  <c r="H109" i="1"/>
  <c r="L106" i="1"/>
  <c r="K106" i="1"/>
  <c r="J106" i="1"/>
  <c r="H106" i="1"/>
  <c r="L105" i="1"/>
  <c r="K105" i="1"/>
  <c r="J105" i="1"/>
  <c r="H105" i="1"/>
  <c r="L104" i="1"/>
  <c r="K104" i="1"/>
  <c r="J104" i="1"/>
  <c r="H104" i="1"/>
  <c r="L103" i="1"/>
  <c r="K103" i="1"/>
  <c r="J103" i="1"/>
  <c r="H103" i="1"/>
  <c r="L102" i="1"/>
  <c r="K102" i="1"/>
  <c r="J102" i="1"/>
  <c r="H102" i="1"/>
  <c r="L101" i="1"/>
  <c r="K101" i="1"/>
  <c r="J101" i="1"/>
  <c r="H101" i="1"/>
  <c r="L100" i="1"/>
  <c r="K100" i="1"/>
  <c r="J100" i="1"/>
  <c r="H100" i="1"/>
  <c r="L98" i="1"/>
  <c r="K98" i="1"/>
  <c r="J98" i="1"/>
  <c r="H98" i="1"/>
  <c r="L97" i="1"/>
  <c r="K97" i="1"/>
  <c r="J97" i="1"/>
  <c r="H97" i="1"/>
  <c r="L95" i="1"/>
  <c r="K95" i="1"/>
  <c r="J95" i="1"/>
  <c r="H95" i="1"/>
  <c r="L93" i="1"/>
  <c r="K93" i="1"/>
  <c r="J93" i="1"/>
  <c r="H93" i="1"/>
  <c r="L91" i="1"/>
  <c r="K91" i="1"/>
  <c r="J91" i="1"/>
  <c r="H91" i="1"/>
  <c r="L90" i="1"/>
  <c r="K90" i="1"/>
  <c r="J90" i="1"/>
  <c r="H90" i="1"/>
  <c r="L89" i="1"/>
  <c r="K89" i="1"/>
  <c r="J89" i="1"/>
  <c r="H89" i="1"/>
  <c r="L88" i="1"/>
  <c r="K88" i="1"/>
  <c r="J88" i="1"/>
  <c r="H88" i="1"/>
  <c r="L87" i="1"/>
  <c r="K87" i="1"/>
  <c r="J87" i="1"/>
  <c r="H87" i="1"/>
  <c r="L86" i="1"/>
  <c r="K86" i="1"/>
  <c r="J86" i="1"/>
  <c r="H86" i="1"/>
  <c r="L85" i="1"/>
  <c r="K85" i="1"/>
  <c r="J85" i="1"/>
  <c r="H85" i="1"/>
  <c r="L83" i="1"/>
  <c r="K83" i="1"/>
  <c r="J83" i="1"/>
  <c r="H83" i="1"/>
  <c r="L81" i="1"/>
  <c r="K81" i="1"/>
  <c r="J81" i="1"/>
  <c r="H81" i="1"/>
  <c r="L76" i="1"/>
  <c r="K76" i="1"/>
  <c r="J76" i="1"/>
  <c r="H76" i="1"/>
  <c r="L73" i="1"/>
  <c r="K73" i="1"/>
  <c r="J73" i="1"/>
  <c r="H73" i="1"/>
  <c r="L72" i="1"/>
  <c r="K72" i="1"/>
  <c r="J72" i="1"/>
  <c r="H72" i="1"/>
  <c r="L71" i="1"/>
  <c r="K71" i="1"/>
  <c r="J71" i="1"/>
  <c r="H71" i="1"/>
  <c r="L70" i="1"/>
  <c r="K70" i="1"/>
  <c r="J70" i="1"/>
  <c r="H70" i="1"/>
  <c r="L69" i="1"/>
  <c r="K69" i="1"/>
  <c r="J69" i="1"/>
  <c r="H69" i="1"/>
  <c r="L67" i="1"/>
  <c r="K67" i="1"/>
  <c r="J67" i="1"/>
  <c r="H67" i="1"/>
  <c r="L66" i="1"/>
  <c r="K66" i="1"/>
  <c r="J66" i="1"/>
  <c r="H66" i="1"/>
  <c r="L59" i="1"/>
  <c r="K59" i="1"/>
  <c r="J59" i="1"/>
  <c r="H59" i="1"/>
  <c r="L58" i="1"/>
  <c r="K58" i="1"/>
  <c r="J58" i="1"/>
  <c r="H58" i="1"/>
  <c r="L55" i="1"/>
  <c r="K55" i="1"/>
  <c r="J55" i="1"/>
  <c r="H55" i="1"/>
  <c r="L53" i="1"/>
  <c r="K53" i="1"/>
  <c r="J53" i="1"/>
  <c r="H53" i="1"/>
  <c r="L52" i="1"/>
  <c r="K52" i="1"/>
  <c r="J52" i="1"/>
  <c r="H52" i="1"/>
  <c r="L50" i="1"/>
  <c r="K50" i="1"/>
  <c r="J50" i="1"/>
  <c r="H50" i="1"/>
  <c r="L48" i="1"/>
  <c r="K48" i="1"/>
  <c r="J48" i="1"/>
  <c r="H48" i="1"/>
  <c r="L46" i="1"/>
  <c r="K46" i="1"/>
  <c r="J46" i="1"/>
  <c r="H46" i="1"/>
  <c r="L45" i="1"/>
  <c r="K45" i="1"/>
  <c r="J45" i="1"/>
  <c r="H45" i="1"/>
  <c r="L37" i="1"/>
  <c r="K37" i="1"/>
  <c r="J37" i="1"/>
  <c r="L36" i="1"/>
  <c r="K36" i="1"/>
  <c r="J36" i="1"/>
  <c r="H36" i="1"/>
  <c r="L35" i="1"/>
  <c r="K35" i="1"/>
  <c r="J35" i="1"/>
  <c r="H35" i="1"/>
  <c r="L34" i="1"/>
  <c r="K34" i="1"/>
  <c r="J34" i="1"/>
  <c r="H34" i="1"/>
  <c r="L33" i="1"/>
  <c r="K33" i="1"/>
  <c r="J33" i="1"/>
  <c r="H33" i="1"/>
  <c r="L32" i="1"/>
  <c r="K32" i="1"/>
  <c r="J32" i="1"/>
  <c r="H32" i="1"/>
  <c r="L31" i="1"/>
  <c r="K31" i="1"/>
  <c r="J31" i="1"/>
  <c r="H31" i="1"/>
  <c r="J30" i="1"/>
  <c r="L29" i="1"/>
  <c r="K29" i="1"/>
  <c r="J29" i="1"/>
  <c r="H29" i="1"/>
  <c r="L28" i="1"/>
  <c r="K28" i="1"/>
  <c r="J28" i="1"/>
  <c r="H28" i="1"/>
  <c r="L27" i="1"/>
  <c r="K27" i="1"/>
  <c r="J27" i="1"/>
  <c r="H27" i="1"/>
  <c r="L26" i="1"/>
  <c r="K26" i="1"/>
  <c r="J26" i="1"/>
  <c r="H26" i="1"/>
  <c r="L24" i="1"/>
  <c r="K24" i="1"/>
  <c r="J24" i="1"/>
  <c r="H24" i="1"/>
  <c r="L23" i="1"/>
  <c r="K23" i="1"/>
  <c r="J23" i="1"/>
  <c r="H23" i="1"/>
  <c r="L22" i="1"/>
  <c r="K22" i="1"/>
  <c r="J22" i="1"/>
  <c r="H22" i="1"/>
  <c r="L21" i="1"/>
  <c r="K21" i="1"/>
  <c r="J21" i="1"/>
  <c r="H21" i="1"/>
  <c r="L20" i="1"/>
  <c r="K20" i="1"/>
  <c r="J20" i="1"/>
  <c r="H20" i="1"/>
  <c r="L19" i="1"/>
  <c r="K19" i="1"/>
  <c r="J19" i="1"/>
  <c r="H19" i="1"/>
  <c r="L18" i="1"/>
  <c r="K18" i="1"/>
  <c r="J18" i="1"/>
  <c r="H18" i="1"/>
  <c r="L17" i="1"/>
  <c r="K17" i="1"/>
  <c r="J17" i="1"/>
  <c r="H17" i="1"/>
  <c r="L15" i="1"/>
  <c r="K15" i="1"/>
  <c r="J15" i="1"/>
  <c r="H15" i="1"/>
  <c r="L13" i="1"/>
  <c r="K13" i="1"/>
  <c r="J13" i="1"/>
  <c r="H13" i="1"/>
  <c r="L12" i="1"/>
  <c r="K12" i="1"/>
  <c r="J12" i="1"/>
  <c r="H12" i="1"/>
</calcChain>
</file>

<file path=xl/sharedStrings.xml><?xml version="1.0" encoding="utf-8"?>
<sst xmlns="http://schemas.openxmlformats.org/spreadsheetml/2006/main" count="616" uniqueCount="577">
  <si>
    <t>Составлен на основании
тех. карты и справочника
пищевой ценности
продукта</t>
  </si>
  <si>
    <t>Ресторан  «Мама Рома центральная»</t>
  </si>
  <si>
    <t>Пищевая и энергетическая ценность продукции компании
Мама Рома центральная</t>
  </si>
  <si>
    <t>№</t>
  </si>
  <si>
    <t>Наименование
блюда</t>
  </si>
  <si>
    <t>Выход
блюда,
кг.</t>
  </si>
  <si>
    <t>Жиры,
г.</t>
  </si>
  <si>
    <t>Белки,
г.</t>
  </si>
  <si>
    <t>Углево-
ды, г.</t>
  </si>
  <si>
    <t>Калорий-
ность,
ккал.</t>
  </si>
  <si>
    <t>Содержание в 100 г. блюда</t>
  </si>
  <si>
    <t>Содержание в 1 порц. блюда</t>
  </si>
  <si>
    <t>Салаты и закуски</t>
  </si>
  <si>
    <t xml:space="preserve">Авокадо с креветками </t>
  </si>
  <si>
    <t>12,12</t>
  </si>
  <si>
    <t>4,83</t>
  </si>
  <si>
    <t>6,50</t>
  </si>
  <si>
    <t>154,40</t>
  </si>
  <si>
    <t>30,67</t>
  </si>
  <si>
    <t>12,21</t>
  </si>
  <si>
    <t>16,43</t>
  </si>
  <si>
    <t>390,62</t>
  </si>
  <si>
    <t>Буррата для двоих с кростини</t>
  </si>
  <si>
    <t>Буррата для одного с кростини</t>
  </si>
  <si>
    <t xml:space="preserve">Гамберетти ал форно </t>
  </si>
  <si>
    <t>0,3630</t>
  </si>
  <si>
    <t>12,51</t>
  </si>
  <si>
    <t>7,14</t>
  </si>
  <si>
    <t>2,35</t>
  </si>
  <si>
    <t>150,26</t>
  </si>
  <si>
    <t>45,40</t>
  </si>
  <si>
    <t>25,91</t>
  </si>
  <si>
    <t>8,53</t>
  </si>
  <si>
    <t>Гамберо Фритто</t>
  </si>
  <si>
    <t>Инсалата ди Роберто</t>
  </si>
  <si>
    <t>0,2960</t>
  </si>
  <si>
    <t>11,74</t>
  </si>
  <si>
    <t>5,63</t>
  </si>
  <si>
    <t>6,81</t>
  </si>
  <si>
    <t>155,28</t>
  </si>
  <si>
    <t>34,74</t>
  </si>
  <si>
    <t>16,66</t>
  </si>
  <si>
    <t>20,15</t>
  </si>
  <si>
    <t>459,62</t>
  </si>
  <si>
    <t>Инсалата Фреско</t>
  </si>
  <si>
    <t>Капрезе</t>
  </si>
  <si>
    <t xml:space="preserve">Моцарелла в хрустящей корочке </t>
  </si>
  <si>
    <t xml:space="preserve">Рулетики из копч.лосося с сыром рикотта </t>
  </si>
  <si>
    <t>Салат Греческий</t>
  </si>
  <si>
    <t>0,3450</t>
  </si>
  <si>
    <t>4,04</t>
  </si>
  <si>
    <t>123,11</t>
  </si>
  <si>
    <t>Салат из цукини</t>
  </si>
  <si>
    <t>Салат Капри</t>
  </si>
  <si>
    <t>Сицилиана Фреско с лососем и креветками</t>
  </si>
  <si>
    <t xml:space="preserve">Сицилийские Оливки </t>
  </si>
  <si>
    <t>0,1000</t>
  </si>
  <si>
    <t>16,30</t>
  </si>
  <si>
    <t>1,80</t>
  </si>
  <si>
    <t>5,20</t>
  </si>
  <si>
    <t>174,70</t>
  </si>
  <si>
    <t>Тар-тар из лосося</t>
  </si>
  <si>
    <t>0,84</t>
  </si>
  <si>
    <t>260,81</t>
  </si>
  <si>
    <t>Тосканские закуски</t>
  </si>
  <si>
    <t xml:space="preserve">Цезарь с креветками </t>
  </si>
  <si>
    <t>Цезарь с куриным филе</t>
  </si>
  <si>
    <t>Карпаччо из говядины</t>
  </si>
  <si>
    <t>Авокадо с тартарами</t>
  </si>
  <si>
    <t>Салат с моцарелла фритта</t>
  </si>
  <si>
    <t>Салат с креветками и авокадо</t>
  </si>
  <si>
    <t>Салат из авокадо</t>
  </si>
  <si>
    <t>Запеченные баклажаны с пармезаном и томатами</t>
  </si>
  <si>
    <t>Antipasti Mix</t>
  </si>
  <si>
    <t>Зеленый салат с курицей</t>
  </si>
  <si>
    <t>Зеленый салат с авокадо и киви</t>
  </si>
  <si>
    <t>Супы</t>
  </si>
  <si>
    <t>1</t>
  </si>
  <si>
    <t>Крем-суп с белыми  грибами</t>
  </si>
  <si>
    <t>11,36</t>
  </si>
  <si>
    <t>1,58</t>
  </si>
  <si>
    <t>8,28</t>
  </si>
  <si>
    <t>141,60</t>
  </si>
  <si>
    <t>41,75</t>
  </si>
  <si>
    <t>5,79</t>
  </si>
  <si>
    <t>30,44</t>
  </si>
  <si>
    <t>520,37</t>
  </si>
  <si>
    <t>Сливочный суп с лососем</t>
  </si>
  <si>
    <t>Суп из морской рыбы и морепродуктов</t>
  </si>
  <si>
    <t xml:space="preserve">Суп куриный </t>
  </si>
  <si>
    <t>0,3400</t>
  </si>
  <si>
    <t>2,11</t>
  </si>
  <si>
    <t>3,23</t>
  </si>
  <si>
    <t>1,06</t>
  </si>
  <si>
    <t>36,17</t>
  </si>
  <si>
    <t>7,18</t>
  </si>
  <si>
    <t>10,97</t>
  </si>
  <si>
    <t>3,61</t>
  </si>
  <si>
    <t>122,99</t>
  </si>
  <si>
    <t>Суп Минестроне</t>
  </si>
  <si>
    <t>Суп томатный с тостом</t>
  </si>
  <si>
    <t>2,84</t>
  </si>
  <si>
    <t>2,27</t>
  </si>
  <si>
    <t>9,77</t>
  </si>
  <si>
    <t>73,75</t>
  </si>
  <si>
    <t>10,60</t>
  </si>
  <si>
    <t>8,45</t>
  </si>
  <si>
    <t>36,43</t>
  </si>
  <si>
    <t>Суп-гуляш по-тоскански</t>
  </si>
  <si>
    <t>127,42</t>
  </si>
  <si>
    <t>Суп-пюре из брокколи с сыром Горгонзола</t>
  </si>
  <si>
    <t xml:space="preserve">Картофельный крем-суп с копчёным лососем </t>
  </si>
  <si>
    <t xml:space="preserve">Тыквенный крем-суп с пармезаном </t>
  </si>
  <si>
    <t>Тыквенный крем-суп с креветками</t>
  </si>
  <si>
    <t>Пасты</t>
  </si>
  <si>
    <t>Казаречче с грибами и баклажанами</t>
  </si>
  <si>
    <t>0,3457</t>
  </si>
  <si>
    <t>18,10</t>
  </si>
  <si>
    <t>5,21</t>
  </si>
  <si>
    <t>26,81</t>
  </si>
  <si>
    <t>291,01</t>
  </si>
  <si>
    <t>62,58</t>
  </si>
  <si>
    <t>18,02</t>
  </si>
  <si>
    <t>92,68</t>
  </si>
  <si>
    <t>1 006,03</t>
  </si>
  <si>
    <t xml:space="preserve">Лазанья Бьянка ди Ринато </t>
  </si>
  <si>
    <t xml:space="preserve">Лазанья мясная </t>
  </si>
  <si>
    <t>Лингвини Мама Рома</t>
  </si>
  <si>
    <t>4,40</t>
  </si>
  <si>
    <t>6,39</t>
  </si>
  <si>
    <t>21,02</t>
  </si>
  <si>
    <t>149,25</t>
  </si>
  <si>
    <t>20,04</t>
  </si>
  <si>
    <t>29,07</t>
  </si>
  <si>
    <t>95,62</t>
  </si>
  <si>
    <t>679,08</t>
  </si>
  <si>
    <t xml:space="preserve">Паппарделли с лососем </t>
  </si>
  <si>
    <t>18,37</t>
  </si>
  <si>
    <t>5,92</t>
  </si>
  <si>
    <t>1,81</t>
  </si>
  <si>
    <t>196,28</t>
  </si>
  <si>
    <t>61,64</t>
  </si>
  <si>
    <t>19,86</t>
  </si>
  <si>
    <t>6,08</t>
  </si>
  <si>
    <t>658,52</t>
  </si>
  <si>
    <t>Паста Делла Мамма</t>
  </si>
  <si>
    <t>0,3688</t>
  </si>
  <si>
    <t>13,65</t>
  </si>
  <si>
    <t>7,25</t>
  </si>
  <si>
    <t>19,73</t>
  </si>
  <si>
    <t>230,78</t>
  </si>
  <si>
    <t>50,35</t>
  </si>
  <si>
    <t>26,73</t>
  </si>
  <si>
    <t>72,76</t>
  </si>
  <si>
    <t>851,12</t>
  </si>
  <si>
    <t>Паста Мария</t>
  </si>
  <si>
    <t>23,38</t>
  </si>
  <si>
    <t>7,93</t>
  </si>
  <si>
    <t>24,40</t>
  </si>
  <si>
    <t>339,76</t>
  </si>
  <si>
    <t>86,51</t>
  </si>
  <si>
    <t>29,35</t>
  </si>
  <si>
    <t>90,27</t>
  </si>
  <si>
    <t>1 257,11</t>
  </si>
  <si>
    <t>Равиоли рикота песто</t>
  </si>
  <si>
    <t>0,2625</t>
  </si>
  <si>
    <t>8,40</t>
  </si>
  <si>
    <t>7,99</t>
  </si>
  <si>
    <t>16,46</t>
  </si>
  <si>
    <t>173,44</t>
  </si>
  <si>
    <t>22,06</t>
  </si>
  <si>
    <t>20,97</t>
  </si>
  <si>
    <t>43,21</t>
  </si>
  <si>
    <t>455,27</t>
  </si>
  <si>
    <t>Ризотто с пармезаном</t>
  </si>
  <si>
    <t>11,55</t>
  </si>
  <si>
    <t>7,91</t>
  </si>
  <si>
    <t>33,25</t>
  </si>
  <si>
    <t>268,61</t>
  </si>
  <si>
    <t>32,65</t>
  </si>
  <si>
    <t>22,34</t>
  </si>
  <si>
    <t>93,97</t>
  </si>
  <si>
    <t>759,10</t>
  </si>
  <si>
    <t>тигровые креветки к ризотто</t>
  </si>
  <si>
    <t>Сливочное ризотто с тартаром из тунца</t>
  </si>
  <si>
    <t xml:space="preserve">Спагетти Болонезе </t>
  </si>
  <si>
    <t>8,56</t>
  </si>
  <si>
    <t>5,64</t>
  </si>
  <si>
    <t>27,17</t>
  </si>
  <si>
    <t>208,28</t>
  </si>
  <si>
    <t>30,99</t>
  </si>
  <si>
    <t>20,41</t>
  </si>
  <si>
    <t>98,34</t>
  </si>
  <si>
    <t>753,96</t>
  </si>
  <si>
    <t xml:space="preserve">Спагетти Карбонара </t>
  </si>
  <si>
    <t>Равиоли Гранде</t>
  </si>
  <si>
    <t>Тальятелли Фрутти ди Маре</t>
  </si>
  <si>
    <t>11,63</t>
  </si>
  <si>
    <t>30,98</t>
  </si>
  <si>
    <t>Тальятелле с грибами и курицей</t>
  </si>
  <si>
    <t>Minestra di pasta</t>
  </si>
  <si>
    <t>Паста с печенью цыпленка и шалфеем</t>
  </si>
  <si>
    <t>Паста Мальфатти с запеченной тыквой</t>
  </si>
  <si>
    <t>Гриль</t>
  </si>
  <si>
    <t>Стейк Денвер глазированный BBQ</t>
  </si>
  <si>
    <t>Стейк Рибай на гриле с овощами и соусом песто</t>
  </si>
  <si>
    <t>Стейк стриплойн с овощами гриль</t>
  </si>
  <si>
    <t>Бистекка из мраморной говядины с овощами-гриль</t>
  </si>
  <si>
    <t>Рыбный микс гриль</t>
  </si>
  <si>
    <t>Кальмары на гриле в ароматном масле</t>
  </si>
  <si>
    <t>Стейк из лосося на гриле с цукини</t>
  </si>
  <si>
    <t>7,19</t>
  </si>
  <si>
    <t>11,67</t>
  </si>
  <si>
    <t>3,15</t>
  </si>
  <si>
    <t>123,94</t>
  </si>
  <si>
    <t>Куриное филе на гриле с сыром горгонзола в соусе песто</t>
  </si>
  <si>
    <t>Тальята из свинины с беконом</t>
  </si>
  <si>
    <t>Горячее</t>
  </si>
  <si>
    <t>Filetto di Merluzzo - Треска в сливочном соусе</t>
  </si>
  <si>
    <t xml:space="preserve">Говядина на сковороде с тремя соусами </t>
  </si>
  <si>
    <t>12,23</t>
  </si>
  <si>
    <t>10,84</t>
  </si>
  <si>
    <t>4,16</t>
  </si>
  <si>
    <t>170,11</t>
  </si>
  <si>
    <t>45,76</t>
  </si>
  <si>
    <t>40,55</t>
  </si>
  <si>
    <t>15,55</t>
  </si>
  <si>
    <t>636,22</t>
  </si>
  <si>
    <t>Куриное филе с грибами</t>
  </si>
  <si>
    <t>Рыбное ассорти Mama Roma</t>
  </si>
  <si>
    <t>6,88</t>
  </si>
  <si>
    <t>15,97</t>
  </si>
  <si>
    <t>12,83</t>
  </si>
  <si>
    <t>177,12</t>
  </si>
  <si>
    <t>31,20</t>
  </si>
  <si>
    <t>72,43</t>
  </si>
  <si>
    <t>58,18</t>
  </si>
  <si>
    <t>803,26</t>
  </si>
  <si>
    <t xml:space="preserve">Стейк из свинины с картофелем </t>
  </si>
  <si>
    <t>Поло аль Форно</t>
  </si>
  <si>
    <t xml:space="preserve">Судак Портофино с соусом Песто </t>
  </si>
  <si>
    <t>14,69</t>
  </si>
  <si>
    <t>14,64</t>
  </si>
  <si>
    <t>9,54</t>
  </si>
  <si>
    <t>228,93</t>
  </si>
  <si>
    <t>39,66</t>
  </si>
  <si>
    <t>39,53</t>
  </si>
  <si>
    <t>25,75</t>
  </si>
  <si>
    <t>618,10</t>
  </si>
  <si>
    <t xml:space="preserve">Филе лосося с креветками </t>
  </si>
  <si>
    <t>Гамберо Фритто Амальфито</t>
  </si>
  <si>
    <t>Филе тунца с апельсинами</t>
  </si>
  <si>
    <t>Куриное филе с пюре, шпинатом и соусом Бёрблан</t>
  </si>
  <si>
    <t xml:space="preserve">Тальята с булгуром </t>
  </si>
  <si>
    <t>Камбала Тюрбо</t>
  </si>
  <si>
    <t xml:space="preserve">Палтус средиземноморский </t>
  </si>
  <si>
    <t>Соте из морепродутов</t>
  </si>
  <si>
    <t>Филе морского окуня с запеченным
картофелем</t>
  </si>
  <si>
    <t>Гарниры</t>
  </si>
  <si>
    <t xml:space="preserve">Картофель фри </t>
  </si>
  <si>
    <t>0,1500</t>
  </si>
  <si>
    <t>17,38</t>
  </si>
  <si>
    <t>4,20</t>
  </si>
  <si>
    <t>42,67</t>
  </si>
  <si>
    <t>343,92</t>
  </si>
  <si>
    <t>26,07</t>
  </si>
  <si>
    <t>6,30</t>
  </si>
  <si>
    <t>64,00</t>
  </si>
  <si>
    <t>515,88</t>
  </si>
  <si>
    <t xml:space="preserve">Овощи на гриле </t>
  </si>
  <si>
    <t>0,2020</t>
  </si>
  <si>
    <t>3</t>
  </si>
  <si>
    <t xml:space="preserve">Овощи на пару </t>
  </si>
  <si>
    <t>10,28</t>
  </si>
  <si>
    <t>5,80</t>
  </si>
  <si>
    <t>19,35</t>
  </si>
  <si>
    <t>Патата ди каза</t>
  </si>
  <si>
    <t xml:space="preserve">Пюре картофельное </t>
  </si>
  <si>
    <t>0,2700</t>
  </si>
  <si>
    <t>Пюре картофельное с жюльеном из белых грибов</t>
  </si>
  <si>
    <t>Цветная капуста в сливочном соусе</t>
  </si>
  <si>
    <t>Пицца</t>
  </si>
  <si>
    <t>Кальцоне Ham &amp; Cheese</t>
  </si>
  <si>
    <t>56,92</t>
  </si>
  <si>
    <t>58,43</t>
  </si>
  <si>
    <t>131,74</t>
  </si>
  <si>
    <t>Провола Аффумиката</t>
  </si>
  <si>
    <t>Гурме с тартаром из тунца</t>
  </si>
  <si>
    <t xml:space="preserve">Пицца лосось и маскарпоне </t>
  </si>
  <si>
    <t>Пицца МАМА РОМА</t>
  </si>
  <si>
    <t>8,24</t>
  </si>
  <si>
    <t>7,37</t>
  </si>
  <si>
    <t>21,13</t>
  </si>
  <si>
    <t>189,98</t>
  </si>
  <si>
    <t>51,92</t>
  </si>
  <si>
    <t>46,44</t>
  </si>
  <si>
    <t>133,16</t>
  </si>
  <si>
    <t>1 197,07</t>
  </si>
  <si>
    <t>Пицца Маргарита</t>
  </si>
  <si>
    <t>4,81</t>
  </si>
  <si>
    <t>7,53</t>
  </si>
  <si>
    <t>35,83</t>
  </si>
  <si>
    <t>216,76</t>
  </si>
  <si>
    <t xml:space="preserve">Пицца Пепперони </t>
  </si>
  <si>
    <t>7,85</t>
  </si>
  <si>
    <t>31,11</t>
  </si>
  <si>
    <t>217,11</t>
  </si>
  <si>
    <t>Пицца Поло Песто</t>
  </si>
  <si>
    <t>6,20</t>
  </si>
  <si>
    <t>9,88</t>
  </si>
  <si>
    <t>25,72</t>
  </si>
  <si>
    <t>198,21</t>
  </si>
  <si>
    <t xml:space="preserve">Пицца Прошутто фунги </t>
  </si>
  <si>
    <t>9,76</t>
  </si>
  <si>
    <t>27,28</t>
  </si>
  <si>
    <t>201,48</t>
  </si>
  <si>
    <t>Пицца Пульчинелла</t>
  </si>
  <si>
    <t>11,79</t>
  </si>
  <si>
    <t>8,15</t>
  </si>
  <si>
    <t>33,12</t>
  </si>
  <si>
    <t>271,22</t>
  </si>
  <si>
    <t xml:space="preserve">Пицца Триколоре </t>
  </si>
  <si>
    <t>6,64</t>
  </si>
  <si>
    <t>6,94</t>
  </si>
  <si>
    <t>23,03</t>
  </si>
  <si>
    <t>170,26</t>
  </si>
  <si>
    <t>Пицца Цезарь</t>
  </si>
  <si>
    <t>10,70</t>
  </si>
  <si>
    <t>10,02</t>
  </si>
  <si>
    <t>22,75</t>
  </si>
  <si>
    <t>232,65</t>
  </si>
  <si>
    <t xml:space="preserve">Пицца Четыре сыра Бьянка </t>
  </si>
  <si>
    <t>6,90</t>
  </si>
  <si>
    <t>10,72</t>
  </si>
  <si>
    <t>30,51</t>
  </si>
  <si>
    <t>227,04</t>
  </si>
  <si>
    <t>Пицца Экзотика</t>
  </si>
  <si>
    <t>5,74</t>
  </si>
  <si>
    <t>10,01</t>
  </si>
  <si>
    <t>27,72</t>
  </si>
  <si>
    <t>202,55</t>
  </si>
  <si>
    <t>Пицца Гурме с моцареллой, желтыми черри</t>
  </si>
  <si>
    <t>Фокачча с нежной бурратой и соусом Наполи</t>
  </si>
  <si>
    <t>Кальцоне Nutella с бананом</t>
  </si>
  <si>
    <t>Фокаччо с карпаччо</t>
  </si>
  <si>
    <t>Пицца с кальмаром и страчателлой</t>
  </si>
  <si>
    <t xml:space="preserve">Фокачча Мортаделла </t>
  </si>
  <si>
    <t xml:space="preserve">Фокачча с брусничным соусом лососем </t>
  </si>
  <si>
    <t>Фокачча с грибами и трюфелем</t>
  </si>
  <si>
    <t>Фокачча с сыром горгонзола и
кедровыми орешками</t>
  </si>
  <si>
    <t>MEZZO METRO Бьянка с лососем+ Цезарь</t>
  </si>
  <si>
    <t>MEZZO METRO Гурме с кальмаром + 4 сыра</t>
  </si>
  <si>
    <t>MEZZO METRO
Триколоре+Мортаделла</t>
  </si>
  <si>
    <t>Топинги к пицце</t>
  </si>
  <si>
    <t xml:space="preserve">Т бекон 50 гр </t>
  </si>
  <si>
    <t>0,0500</t>
  </si>
  <si>
    <t>44,10</t>
  </si>
  <si>
    <t>8,01</t>
  </si>
  <si>
    <t>30,00</t>
  </si>
  <si>
    <t>548,94</t>
  </si>
  <si>
    <t>22,05</t>
  </si>
  <si>
    <t>4,01</t>
  </si>
  <si>
    <t>15,00</t>
  </si>
  <si>
    <t>274,47</t>
  </si>
  <si>
    <t>2</t>
  </si>
  <si>
    <t xml:space="preserve">Т ветчина 50 гр </t>
  </si>
  <si>
    <t>14,63</t>
  </si>
  <si>
    <t>20,34</t>
  </si>
  <si>
    <t>0,00</t>
  </si>
  <si>
    <t>213,03</t>
  </si>
  <si>
    <t>7,32</t>
  </si>
  <si>
    <t>10,17</t>
  </si>
  <si>
    <t>106,52</t>
  </si>
  <si>
    <t xml:space="preserve">Т грибы 50 гр </t>
  </si>
  <si>
    <t>0,70</t>
  </si>
  <si>
    <t>3,87</t>
  </si>
  <si>
    <t>1,00</t>
  </si>
  <si>
    <t>25,78</t>
  </si>
  <si>
    <t>0,35</t>
  </si>
  <si>
    <t>1,94</t>
  </si>
  <si>
    <t>0,50</t>
  </si>
  <si>
    <t>12,89</t>
  </si>
  <si>
    <t>5</t>
  </si>
  <si>
    <t xml:space="preserve">Т кур.филе 40 гр </t>
  </si>
  <si>
    <t>0,0400</t>
  </si>
  <si>
    <t>1,43</t>
  </si>
  <si>
    <t>21,24</t>
  </si>
  <si>
    <t>0,40</t>
  </si>
  <si>
    <t>99,39</t>
  </si>
  <si>
    <t>0,57</t>
  </si>
  <si>
    <t>8,50</t>
  </si>
  <si>
    <t>0,16</t>
  </si>
  <si>
    <t>39,75</t>
  </si>
  <si>
    <t>6</t>
  </si>
  <si>
    <t>Т моцарелла 50 гр</t>
  </si>
  <si>
    <t>16,10</t>
  </si>
  <si>
    <t>12,60</t>
  </si>
  <si>
    <t>195,30</t>
  </si>
  <si>
    <t>8,05</t>
  </si>
  <si>
    <t>97,65</t>
  </si>
  <si>
    <t>7</t>
  </si>
  <si>
    <t xml:space="preserve">Т пеперони 40 гр </t>
  </si>
  <si>
    <t>54,60</t>
  </si>
  <si>
    <t>17,28</t>
  </si>
  <si>
    <t>560,52</t>
  </si>
  <si>
    <t>21,84</t>
  </si>
  <si>
    <t>6,91</t>
  </si>
  <si>
    <t>224,21</t>
  </si>
  <si>
    <t>8</t>
  </si>
  <si>
    <t>Т соус песто 40 гр</t>
  </si>
  <si>
    <t>62,32</t>
  </si>
  <si>
    <t>12,27</t>
  </si>
  <si>
    <t>3,98</t>
  </si>
  <si>
    <t>625,83</t>
  </si>
  <si>
    <t>24,93</t>
  </si>
  <si>
    <t>4,91</t>
  </si>
  <si>
    <t>1,59</t>
  </si>
  <si>
    <t>250,33</t>
  </si>
  <si>
    <t xml:space="preserve">Т креветки 25 гр </t>
  </si>
  <si>
    <t>Т соус томатный 50 гр</t>
  </si>
  <si>
    <t>Соусы</t>
  </si>
  <si>
    <t xml:space="preserve">Соус Барбекю </t>
  </si>
  <si>
    <t>0,07</t>
  </si>
  <si>
    <t>0,63</t>
  </si>
  <si>
    <t>0,03</t>
  </si>
  <si>
    <t>0,25</t>
  </si>
  <si>
    <t xml:space="preserve">Соус Мама Рома </t>
  </si>
  <si>
    <t>0,13</t>
  </si>
  <si>
    <t>1,03</t>
  </si>
  <si>
    <t>26,90</t>
  </si>
  <si>
    <t>112,85</t>
  </si>
  <si>
    <t>0,06</t>
  </si>
  <si>
    <t>0,51</t>
  </si>
  <si>
    <t>13,45</t>
  </si>
  <si>
    <t>56,43</t>
  </si>
  <si>
    <t>Соус Сливочный с Песто</t>
  </si>
  <si>
    <t>0,0410</t>
  </si>
  <si>
    <t>41,78</t>
  </si>
  <si>
    <t>4,41</t>
  </si>
  <si>
    <t>3,37</t>
  </si>
  <si>
    <t>407,11</t>
  </si>
  <si>
    <t>17,13</t>
  </si>
  <si>
    <t>1,38</t>
  </si>
  <si>
    <t>166,92</t>
  </si>
  <si>
    <t xml:space="preserve">Соус Тар-тар </t>
  </si>
  <si>
    <t>12,28</t>
  </si>
  <si>
    <t>3,44</t>
  </si>
  <si>
    <t>126,31</t>
  </si>
  <si>
    <t>0,20</t>
  </si>
  <si>
    <t>50,52</t>
  </si>
  <si>
    <t>Хлеб</t>
  </si>
  <si>
    <t>Итальянский хлеб со сливочным маслом</t>
  </si>
  <si>
    <t>22,00</t>
  </si>
  <si>
    <t>6,51</t>
  </si>
  <si>
    <t>41,86</t>
  </si>
  <si>
    <t>391,52</t>
  </si>
  <si>
    <t>41,52</t>
  </si>
  <si>
    <t>12,29</t>
  </si>
  <si>
    <t>78,99</t>
  </si>
  <si>
    <t>738,79</t>
  </si>
  <si>
    <t xml:space="preserve">Фокачча с Песто </t>
  </si>
  <si>
    <t>6,12</t>
  </si>
  <si>
    <t>7,36</t>
  </si>
  <si>
    <t>44,67</t>
  </si>
  <si>
    <t>263,20</t>
  </si>
  <si>
    <t xml:space="preserve">Фокачча со свежим розмарином </t>
  </si>
  <si>
    <t>4,76</t>
  </si>
  <si>
    <t>7,08</t>
  </si>
  <si>
    <t>46,72</t>
  </si>
  <si>
    <t>258,00</t>
  </si>
  <si>
    <t>Фокачча сырная</t>
  </si>
  <si>
    <t>Десерты</t>
  </si>
  <si>
    <t>Аморе дольче микс</t>
  </si>
  <si>
    <t xml:space="preserve">Захер </t>
  </si>
  <si>
    <t>20,12</t>
  </si>
  <si>
    <t>4,84</t>
  </si>
  <si>
    <t>43,48</t>
  </si>
  <si>
    <t>Клубничный тирамису</t>
  </si>
  <si>
    <t>0,2438</t>
  </si>
  <si>
    <t>16,17</t>
  </si>
  <si>
    <t>3,29</t>
  </si>
  <si>
    <t>30,91</t>
  </si>
  <si>
    <t>282,84</t>
  </si>
  <si>
    <t>39,42</t>
  </si>
  <si>
    <t>8,03</t>
  </si>
  <si>
    <t>75,35</t>
  </si>
  <si>
    <t>689,56</t>
  </si>
  <si>
    <t>Медовик</t>
  </si>
  <si>
    <t xml:space="preserve">Миндальный торт </t>
  </si>
  <si>
    <t>Мороженое "Тре Амичи"</t>
  </si>
  <si>
    <t>0,2378</t>
  </si>
  <si>
    <t>11,27</t>
  </si>
  <si>
    <t>3,75</t>
  </si>
  <si>
    <t>24,94</t>
  </si>
  <si>
    <t>216,17</t>
  </si>
  <si>
    <t>26,80</t>
  </si>
  <si>
    <t>8,92</t>
  </si>
  <si>
    <t>59,30</t>
  </si>
  <si>
    <t>514,06</t>
  </si>
  <si>
    <t>Панна Котта</t>
  </si>
  <si>
    <t>26,13</t>
  </si>
  <si>
    <t>3,22</t>
  </si>
  <si>
    <t>18,43</t>
  </si>
  <si>
    <t>321,71</t>
  </si>
  <si>
    <t>48,98</t>
  </si>
  <si>
    <t>6,03</t>
  </si>
  <si>
    <t>34,56</t>
  </si>
  <si>
    <t>603,20</t>
  </si>
  <si>
    <t xml:space="preserve">Рикотта с грушей </t>
  </si>
  <si>
    <t>Сорбет лимонный</t>
  </si>
  <si>
    <t>0,1740</t>
  </si>
  <si>
    <t>2,17</t>
  </si>
  <si>
    <t>2,38</t>
  </si>
  <si>
    <t>13,48</t>
  </si>
  <si>
    <t>82,98</t>
  </si>
  <si>
    <t>3,77</t>
  </si>
  <si>
    <t>4,15</t>
  </si>
  <si>
    <t>23,46</t>
  </si>
  <si>
    <t>144,38</t>
  </si>
  <si>
    <t xml:space="preserve">Тирамису </t>
  </si>
  <si>
    <t>20,20</t>
  </si>
  <si>
    <t>5,37</t>
  </si>
  <si>
    <t>26,25</t>
  </si>
  <si>
    <t>308,25</t>
  </si>
  <si>
    <t>25,66</t>
  </si>
  <si>
    <t>33,33</t>
  </si>
  <si>
    <t>391,48</t>
  </si>
  <si>
    <t>Чизкейк с маракуйей</t>
  </si>
  <si>
    <t>Чизкейк Фисташковый</t>
  </si>
  <si>
    <t xml:space="preserve">Яблочный Штрудель </t>
  </si>
  <si>
    <t>Черемуховый торт</t>
  </si>
  <si>
    <t>Кальцоне с нутеллой и ванильным джелатто</t>
  </si>
  <si>
    <t>Итальянская пита</t>
  </si>
  <si>
    <t>Мачедония</t>
  </si>
  <si>
    <t>Dolce Duo от шефа</t>
  </si>
  <si>
    <t>Крудо из тунца с апельсином</t>
  </si>
  <si>
    <t>Зеленый микс с ростбифом</t>
  </si>
  <si>
    <t>Zuppa Bollito Misto</t>
  </si>
  <si>
    <t>Ригатони с сальсичей</t>
  </si>
  <si>
    <t>Паппарделли с рагу из щёчек</t>
  </si>
  <si>
    <t>Тальята из говядины с картофелем фри</t>
  </si>
  <si>
    <t>Запеченное филе лосося с картофелем</t>
  </si>
  <si>
    <t>Авокадо на гриле</t>
  </si>
  <si>
    <t>Брокколи на гриле</t>
  </si>
  <si>
    <t>Нежный шпинат с пармезаном</t>
  </si>
  <si>
    <t>Пицца с нежным ростбифом сувид</t>
  </si>
  <si>
    <t xml:space="preserve">Пицца с нежной страчателлой и томатами </t>
  </si>
  <si>
    <t>Фокачча alla greca</t>
  </si>
  <si>
    <t>Фокачча с салями</t>
  </si>
  <si>
    <t>Фокачча со страчателлой и песто</t>
  </si>
  <si>
    <t xml:space="preserve">Фокачча с нутеллой и мороженым </t>
  </si>
  <si>
    <t>Говяжьи щечки с пюре</t>
  </si>
  <si>
    <t>Треска с пюре</t>
  </si>
  <si>
    <t>Пицца Гурме с прошутто</t>
  </si>
  <si>
    <t>Ризотто с томлеными говяжьими щечками</t>
  </si>
  <si>
    <t>Зеленый микс-салат с мраморной
говядиной</t>
  </si>
  <si>
    <t>Салат с тунцом и клубникой</t>
  </si>
  <si>
    <t>Тыквенное Ризотто с креветками</t>
  </si>
  <si>
    <t>Ризотто с Песто</t>
  </si>
  <si>
    <t>Фузилли с лососем</t>
  </si>
  <si>
    <t>Спагетти с Песто</t>
  </si>
  <si>
    <t>Креветки по-сицилийски</t>
  </si>
  <si>
    <t>Тальята из говядины с пюре</t>
  </si>
  <si>
    <t>Цуккини с соусом Наполи</t>
  </si>
  <si>
    <t>Цуккини аль форно</t>
  </si>
  <si>
    <t>Картофель-фри Триколор</t>
  </si>
  <si>
    <t>Фокачча с Нутеллой, фисташковым
кремом и клубникой</t>
  </si>
  <si>
    <t>Фокачча с цуккини, брокколи и соусом
Наполи</t>
  </si>
  <si>
    <t>Фокачча с Рикоттой, песто и
трюфельным маслом</t>
  </si>
  <si>
    <t>Фокачча со страчателлой, креветками
и рукколой</t>
  </si>
  <si>
    <t>Пицца Quattro Stagioni</t>
  </si>
  <si>
    <t>Семифреддо с орехом</t>
  </si>
  <si>
    <t>Кроккантини алла Романа</t>
  </si>
  <si>
    <t>Dolce al Cocco</t>
  </si>
  <si>
    <t>Сезонный Фрукт</t>
  </si>
  <si>
    <t>Яблочный Пирог</t>
  </si>
  <si>
    <t>Кофейный и клуюничные  муссы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</si>
</sst>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10" x14ac:knownFonts="1">
    <font>
      <sz val="11"/>
      <color theme="1"/>
      <name val="Calibri"/>
      <family val="2"/>
      <charset val="204"/>
      <scheme val="minor"/>
    </font>
    <font>
      <sz val="9"/>
      <color indexed="8"/>
      <name val="Arial"/>
      <family val="2"/>
      <charset val="204"/>
    </font>
    <font>
      <sz val="16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sz val="10"/>
      <name val="Arial"/>
      <family val="2"/>
      <charset val="204"/>
    </font>
    <font>
      <b/>
      <sz val="14"/>
      <color indexed="8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11"/>
      <color indexed="8"/>
      <name val="Arial"/>
      <family val="2"/>
      <charset val="204"/>
    </font>
    <font>
      <sz val="8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64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54">
    <xf numFmtId="0" fontId="0" fillId="0" borderId="0" xfId="0"/>
    <xf numFmtId="0" fontId="0" fillId="0" borderId="0" xfId="0" applyNumberFormat="1" applyFont="1" applyFill="1" applyBorder="1" applyAlignment="1" applyProtection="1">
      <alignment vertical="top"/>
    </xf>
    <xf numFmtId="0" fontId="1" fillId="0" borderId="1" xfId="0" applyNumberFormat="1" applyFont="1" applyFill="1" applyBorder="1" applyAlignment="1" applyProtection="1">
      <alignment horizontal="center" vertical="center" wrapText="1" readingOrder="1"/>
    </xf>
    <xf numFmtId="0" fontId="3" fillId="0" borderId="1" xfId="0" applyNumberFormat="1" applyFont="1" applyFill="1" applyBorder="1" applyAlignment="1" applyProtection="1">
      <alignment horizontal="center" vertical="center" wrapText="1" readingOrder="1"/>
    </xf>
    <xf numFmtId="0" fontId="3" fillId="0" borderId="7" xfId="1" applyNumberFormat="1" applyFont="1" applyFill="1" applyBorder="1" applyAlignment="1" applyProtection="1">
      <alignment horizontal="center" vertical="center" wrapText="1" readingOrder="1"/>
    </xf>
    <xf numFmtId="0" fontId="3" fillId="0" borderId="7" xfId="1" applyNumberFormat="1" applyFont="1" applyFill="1" applyBorder="1" applyAlignment="1" applyProtection="1">
      <alignment horizontal="left" vertical="center" wrapText="1" readingOrder="1"/>
    </xf>
    <xf numFmtId="0" fontId="3" fillId="0" borderId="7" xfId="2" applyNumberFormat="1" applyFont="1" applyFill="1" applyBorder="1" applyAlignment="1" applyProtection="1">
      <alignment horizontal="right" vertical="center" wrapText="1" readingOrder="1"/>
    </xf>
    <xf numFmtId="164" fontId="3" fillId="0" borderId="7" xfId="2" applyNumberFormat="1" applyFont="1" applyFill="1" applyBorder="1" applyAlignment="1" applyProtection="1">
      <alignment horizontal="right" vertical="center" wrapText="1" readingOrder="1"/>
    </xf>
    <xf numFmtId="2" fontId="3" fillId="0" borderId="7" xfId="2" applyNumberFormat="1" applyFont="1" applyFill="1" applyBorder="1" applyAlignment="1" applyProtection="1">
      <alignment horizontal="right" vertical="center" wrapText="1" readingOrder="1"/>
    </xf>
    <xf numFmtId="0" fontId="3" fillId="0" borderId="7" xfId="1" applyNumberFormat="1" applyFont="1" applyFill="1" applyBorder="1" applyAlignment="1" applyProtection="1">
      <alignment horizontal="right" vertical="center" wrapText="1" readingOrder="1"/>
    </xf>
    <xf numFmtId="0" fontId="3" fillId="0" borderId="10" xfId="1" applyNumberFormat="1" applyFont="1" applyFill="1" applyBorder="1" applyAlignment="1" applyProtection="1">
      <alignment horizontal="center" vertical="center" wrapText="1" readingOrder="1"/>
    </xf>
    <xf numFmtId="0" fontId="3" fillId="0" borderId="10" xfId="1" applyNumberFormat="1" applyFont="1" applyFill="1" applyBorder="1" applyAlignment="1" applyProtection="1">
      <alignment horizontal="left" vertical="center" wrapText="1" readingOrder="1"/>
    </xf>
    <xf numFmtId="165" fontId="3" fillId="0" borderId="10" xfId="2" applyNumberFormat="1" applyFont="1" applyFill="1" applyBorder="1" applyAlignment="1" applyProtection="1">
      <alignment horizontal="right" vertical="center" wrapText="1" readingOrder="1"/>
    </xf>
    <xf numFmtId="0" fontId="3" fillId="0" borderId="10" xfId="2" applyNumberFormat="1" applyFont="1" applyFill="1" applyBorder="1" applyAlignment="1" applyProtection="1">
      <alignment horizontal="right" vertical="center" wrapText="1" readingOrder="1"/>
    </xf>
    <xf numFmtId="2" fontId="3" fillId="0" borderId="10" xfId="2" applyNumberFormat="1" applyFont="1" applyFill="1" applyBorder="1" applyAlignment="1" applyProtection="1">
      <alignment horizontal="right" vertical="center" wrapText="1" readingOrder="1"/>
    </xf>
    <xf numFmtId="0" fontId="3" fillId="0" borderId="1" xfId="1" applyNumberFormat="1" applyFont="1" applyFill="1" applyBorder="1" applyAlignment="1" applyProtection="1">
      <alignment horizontal="center" vertical="center" wrapText="1" readingOrder="1"/>
    </xf>
    <xf numFmtId="0" fontId="3" fillId="0" borderId="1" xfId="1" applyNumberFormat="1" applyFont="1" applyFill="1" applyBorder="1" applyAlignment="1" applyProtection="1">
      <alignment horizontal="left" vertical="center" wrapText="1" readingOrder="1"/>
    </xf>
    <xf numFmtId="165" fontId="3" fillId="0" borderId="1" xfId="2" applyNumberFormat="1" applyFont="1" applyFill="1" applyBorder="1" applyAlignment="1" applyProtection="1">
      <alignment horizontal="right" vertical="center" wrapText="1" readingOrder="1"/>
    </xf>
    <xf numFmtId="0" fontId="3" fillId="0" borderId="1" xfId="2" applyNumberFormat="1" applyFont="1" applyFill="1" applyBorder="1" applyAlignment="1" applyProtection="1">
      <alignment horizontal="right" vertical="center" wrapText="1" readingOrder="1"/>
    </xf>
    <xf numFmtId="2" fontId="3" fillId="0" borderId="1" xfId="2" applyNumberFormat="1" applyFont="1" applyFill="1" applyBorder="1" applyAlignment="1" applyProtection="1">
      <alignment vertical="center" wrapText="1" readingOrder="1"/>
    </xf>
    <xf numFmtId="0" fontId="3" fillId="0" borderId="1" xfId="2" applyNumberFormat="1" applyFont="1" applyFill="1" applyBorder="1" applyAlignment="1" applyProtection="1">
      <alignment vertical="center" wrapText="1" readingOrder="1"/>
    </xf>
    <xf numFmtId="2" fontId="3" fillId="0" borderId="1" xfId="2" applyNumberFormat="1" applyFont="1" applyFill="1" applyBorder="1" applyAlignment="1" applyProtection="1">
      <alignment horizontal="right" vertical="center" wrapText="1" readingOrder="1"/>
    </xf>
    <xf numFmtId="0" fontId="3" fillId="0" borderId="11" xfId="1" applyNumberFormat="1" applyFont="1" applyFill="1" applyBorder="1" applyAlignment="1" applyProtection="1">
      <alignment horizontal="center" vertical="center" wrapText="1" readingOrder="1"/>
    </xf>
    <xf numFmtId="0" fontId="3" fillId="0" borderId="11" xfId="1" applyNumberFormat="1" applyFont="1" applyFill="1" applyBorder="1" applyAlignment="1" applyProtection="1">
      <alignment horizontal="left" vertical="center" wrapText="1" readingOrder="1"/>
    </xf>
    <xf numFmtId="0" fontId="3" fillId="0" borderId="11" xfId="2" applyNumberFormat="1" applyFont="1" applyFill="1" applyBorder="1" applyAlignment="1" applyProtection="1">
      <alignment horizontal="right" vertical="center" wrapText="1" readingOrder="1"/>
    </xf>
    <xf numFmtId="0" fontId="0" fillId="0" borderId="0" xfId="0" applyFill="1"/>
    <xf numFmtId="2" fontId="3" fillId="0" borderId="7" xfId="1" applyNumberFormat="1" applyFont="1" applyFill="1" applyBorder="1" applyAlignment="1" applyProtection="1">
      <alignment horizontal="right" vertical="center" wrapText="1" readingOrder="1"/>
    </xf>
    <xf numFmtId="0" fontId="3" fillId="0" borderId="7" xfId="0" applyNumberFormat="1" applyFont="1" applyFill="1" applyBorder="1" applyAlignment="1" applyProtection="1">
      <alignment horizontal="right" vertical="center" wrapText="1" readingOrder="1"/>
    </xf>
    <xf numFmtId="2" fontId="3" fillId="0" borderId="7" xfId="0" applyNumberFormat="1" applyFont="1" applyFill="1" applyBorder="1" applyAlignment="1" applyProtection="1">
      <alignment horizontal="right" vertical="center" wrapText="1" readingOrder="1"/>
    </xf>
    <xf numFmtId="165" fontId="3" fillId="0" borderId="1" xfId="0" applyNumberFormat="1" applyFont="1" applyFill="1" applyBorder="1" applyAlignment="1" applyProtection="1">
      <alignment horizontal="right" vertical="center" wrapText="1" readingOrder="1"/>
    </xf>
    <xf numFmtId="2" fontId="3" fillId="0" borderId="1" xfId="0" applyNumberFormat="1" applyFont="1" applyFill="1" applyBorder="1" applyAlignment="1" applyProtection="1">
      <alignment horizontal="right" vertical="center" wrapText="1" readingOrder="1"/>
    </xf>
    <xf numFmtId="0" fontId="3" fillId="0" borderId="1" xfId="0" applyNumberFormat="1" applyFont="1" applyFill="1" applyBorder="1" applyAlignment="1" applyProtection="1">
      <alignment horizontal="right" vertical="center" wrapText="1" readingOrder="1"/>
    </xf>
    <xf numFmtId="164" fontId="3" fillId="0" borderId="1" xfId="0" applyNumberFormat="1" applyFont="1" applyFill="1" applyBorder="1" applyAlignment="1" applyProtection="1">
      <alignment horizontal="right" vertical="center" wrapText="1" readingOrder="1"/>
    </xf>
    <xf numFmtId="0" fontId="0" fillId="0" borderId="0" xfId="0" applyFill="1" applyAlignment="1">
      <alignment horizontal="right"/>
    </xf>
    <xf numFmtId="0" fontId="3" fillId="0" borderId="7" xfId="0" applyNumberFormat="1" applyFont="1" applyFill="1" applyBorder="1" applyAlignment="1" applyProtection="1">
      <alignment horizontal="center" vertical="center" wrapText="1" readingOrder="1"/>
    </xf>
    <xf numFmtId="0" fontId="3" fillId="0" borderId="7" xfId="0" applyNumberFormat="1" applyFont="1" applyFill="1" applyBorder="1" applyAlignment="1" applyProtection="1">
      <alignment horizontal="left" vertical="center" wrapText="1" readingOrder="1"/>
    </xf>
    <xf numFmtId="0" fontId="7" fillId="0" borderId="7" xfId="0" applyNumberFormat="1" applyFont="1" applyFill="1" applyBorder="1" applyAlignment="1" applyProtection="1">
      <alignment horizontal="left" vertical="center" wrapText="1" readingOrder="1"/>
    </xf>
    <xf numFmtId="0" fontId="7" fillId="0" borderId="7" xfId="0" applyNumberFormat="1" applyFont="1" applyFill="1" applyBorder="1" applyAlignment="1" applyProtection="1">
      <alignment horizontal="right" vertical="center" wrapText="1" readingOrder="1"/>
    </xf>
    <xf numFmtId="0" fontId="3" fillId="0" borderId="10" xfId="0" applyNumberFormat="1" applyFont="1" applyFill="1" applyBorder="1" applyAlignment="1" applyProtection="1">
      <alignment horizontal="left" vertical="center" wrapText="1" readingOrder="1"/>
    </xf>
    <xf numFmtId="0" fontId="3" fillId="0" borderId="10" xfId="0" applyNumberFormat="1" applyFont="1" applyFill="1" applyBorder="1" applyAlignment="1" applyProtection="1">
      <alignment horizontal="right" vertical="center" wrapText="1" readingOrder="1"/>
    </xf>
    <xf numFmtId="0" fontId="3" fillId="0" borderId="1" xfId="0" applyNumberFormat="1" applyFont="1" applyFill="1" applyBorder="1" applyAlignment="1" applyProtection="1">
      <alignment horizontal="left" vertical="center" wrapText="1" readingOrder="1"/>
    </xf>
    <xf numFmtId="165" fontId="3" fillId="0" borderId="7" xfId="0" applyNumberFormat="1" applyFont="1" applyFill="1" applyBorder="1" applyAlignment="1" applyProtection="1">
      <alignment horizontal="right" vertical="center" wrapText="1" readingOrder="1"/>
    </xf>
    <xf numFmtId="1" fontId="3" fillId="0" borderId="1" xfId="0" applyNumberFormat="1" applyFont="1" applyFill="1" applyBorder="1" applyAlignment="1" applyProtection="1">
      <alignment horizontal="right" vertical="center" wrapText="1" readingOrder="1"/>
    </xf>
    <xf numFmtId="2" fontId="3" fillId="0" borderId="1" xfId="0" applyNumberFormat="1" applyFont="1" applyFill="1" applyBorder="1" applyAlignment="1" applyProtection="1">
      <alignment wrapText="1" readingOrder="1"/>
    </xf>
    <xf numFmtId="0" fontId="3" fillId="0" borderId="21" xfId="0" applyNumberFormat="1" applyFont="1" applyFill="1" applyBorder="1" applyAlignment="1" applyProtection="1">
      <alignment horizontal="center" vertical="center" wrapText="1" readingOrder="1"/>
    </xf>
    <xf numFmtId="0" fontId="3" fillId="0" borderId="21" xfId="0" applyNumberFormat="1" applyFont="1" applyFill="1" applyBorder="1" applyAlignment="1" applyProtection="1">
      <alignment horizontal="left" vertical="center" wrapText="1" readingOrder="1"/>
    </xf>
    <xf numFmtId="0" fontId="3" fillId="0" borderId="21" xfId="0" applyNumberFormat="1" applyFont="1" applyFill="1" applyBorder="1" applyAlignment="1" applyProtection="1">
      <alignment horizontal="right" vertical="center" wrapText="1" readingOrder="1"/>
    </xf>
    <xf numFmtId="0" fontId="0" fillId="0" borderId="1" xfId="0" applyFill="1" applyBorder="1"/>
    <xf numFmtId="165" fontId="3" fillId="0" borderId="7" xfId="1" applyNumberFormat="1" applyFont="1" applyFill="1" applyBorder="1" applyAlignment="1" applyProtection="1">
      <alignment horizontal="right" vertical="center" wrapText="1" readingOrder="1"/>
    </xf>
    <xf numFmtId="0" fontId="7" fillId="0" borderId="7" xfId="1" applyNumberFormat="1" applyFont="1" applyFill="1" applyBorder="1" applyAlignment="1" applyProtection="1">
      <alignment horizontal="center" vertical="center" wrapText="1" readingOrder="1"/>
    </xf>
    <xf numFmtId="0" fontId="7" fillId="0" borderId="7" xfId="1" applyNumberFormat="1" applyFont="1" applyFill="1" applyBorder="1" applyAlignment="1" applyProtection="1">
      <alignment horizontal="left" vertical="center" wrapText="1" readingOrder="1"/>
    </xf>
    <xf numFmtId="165" fontId="7" fillId="0" borderId="7" xfId="0" applyNumberFormat="1" applyFont="1" applyFill="1" applyBorder="1" applyAlignment="1" applyProtection="1">
      <alignment horizontal="right" vertical="center" wrapText="1" readingOrder="1"/>
    </xf>
    <xf numFmtId="2" fontId="3" fillId="0" borderId="10" xfId="0" applyNumberFormat="1" applyFont="1" applyFill="1" applyBorder="1" applyAlignment="1" applyProtection="1">
      <alignment horizontal="right" vertical="center" wrapText="1" readingOrder="1"/>
    </xf>
    <xf numFmtId="2" fontId="3" fillId="0" borderId="1" xfId="0" applyNumberFormat="1" applyFont="1" applyFill="1" applyBorder="1" applyAlignment="1" applyProtection="1">
      <alignment vertical="center" wrapText="1" readingOrder="1"/>
    </xf>
    <xf numFmtId="0" fontId="3" fillId="0" borderId="11" xfId="1" applyNumberFormat="1" applyFont="1" applyFill="1" applyBorder="1" applyAlignment="1" applyProtection="1">
      <alignment horizontal="right" vertical="center" wrapText="1" readingOrder="1"/>
    </xf>
    <xf numFmtId="0" fontId="9" fillId="0" borderId="1" xfId="0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right"/>
    </xf>
    <xf numFmtId="0" fontId="9" fillId="0" borderId="1" xfId="0" applyFont="1" applyFill="1" applyBorder="1" applyAlignment="1">
      <alignment horizontal="right"/>
    </xf>
    <xf numFmtId="2" fontId="9" fillId="0" borderId="1" xfId="0" applyNumberFormat="1" applyFont="1" applyFill="1" applyBorder="1" applyAlignment="1">
      <alignment horizontal="right"/>
    </xf>
    <xf numFmtId="165" fontId="3" fillId="0" borderId="10" xfId="0" applyNumberFormat="1" applyFont="1" applyFill="1" applyBorder="1" applyAlignment="1" applyProtection="1">
      <alignment horizontal="right" vertical="center" wrapText="1" readingOrder="1"/>
    </xf>
    <xf numFmtId="0" fontId="3" fillId="0" borderId="30" xfId="1" applyNumberFormat="1" applyFont="1" applyFill="1" applyBorder="1" applyAlignment="1" applyProtection="1">
      <alignment horizontal="center" vertical="center" wrapText="1" readingOrder="1"/>
    </xf>
    <xf numFmtId="0" fontId="3" fillId="0" borderId="30" xfId="1" applyNumberFormat="1" applyFont="1" applyFill="1" applyBorder="1" applyAlignment="1" applyProtection="1">
      <alignment horizontal="left" vertical="center" wrapText="1" readingOrder="1"/>
    </xf>
    <xf numFmtId="165" fontId="3" fillId="0" borderId="30" xfId="0" applyNumberFormat="1" applyFont="1" applyFill="1" applyBorder="1" applyAlignment="1" applyProtection="1">
      <alignment horizontal="right" vertical="center" wrapText="1" readingOrder="1"/>
    </xf>
    <xf numFmtId="0" fontId="3" fillId="0" borderId="30" xfId="0" applyNumberFormat="1" applyFont="1" applyFill="1" applyBorder="1" applyAlignment="1" applyProtection="1">
      <alignment horizontal="right" vertical="center" wrapText="1" readingOrder="1"/>
    </xf>
    <xf numFmtId="0" fontId="3" fillId="0" borderId="30" xfId="0" applyNumberFormat="1" applyFont="1" applyFill="1" applyBorder="1" applyAlignment="1" applyProtection="1">
      <alignment horizontal="right" vertical="center" wrapText="1" readingOrder="1"/>
    </xf>
    <xf numFmtId="2" fontId="3" fillId="0" borderId="30" xfId="0" applyNumberFormat="1" applyFont="1" applyFill="1" applyBorder="1" applyAlignment="1" applyProtection="1">
      <alignment horizontal="right" vertical="center" wrapText="1" readingOrder="1"/>
    </xf>
    <xf numFmtId="0" fontId="6" fillId="2" borderId="31" xfId="0" applyFont="1" applyFill="1" applyBorder="1" applyAlignment="1"/>
    <xf numFmtId="0" fontId="6" fillId="2" borderId="32" xfId="0" applyFont="1" applyFill="1" applyBorder="1" applyAlignment="1"/>
    <xf numFmtId="0" fontId="0" fillId="2" borderId="33" xfId="0" applyFill="1" applyBorder="1"/>
    <xf numFmtId="2" fontId="3" fillId="0" borderId="1" xfId="0" applyNumberFormat="1" applyFont="1" applyFill="1" applyBorder="1" applyAlignment="1" applyProtection="1">
      <alignment horizontal="right" vertical="center" wrapText="1" readingOrder="1"/>
    </xf>
    <xf numFmtId="0" fontId="3" fillId="0" borderId="1" xfId="2" applyNumberFormat="1" applyFont="1" applyFill="1" applyBorder="1" applyAlignment="1" applyProtection="1">
      <alignment horizontal="right" vertical="center" wrapText="1" readingOrder="1"/>
    </xf>
    <xf numFmtId="0" fontId="3" fillId="0" borderId="1" xfId="0" applyNumberFormat="1" applyFont="1" applyFill="1" applyBorder="1" applyAlignment="1" applyProtection="1">
      <alignment horizontal="right" vertical="center" wrapText="1" readingOrder="1"/>
    </xf>
    <xf numFmtId="0" fontId="3" fillId="0" borderId="1" xfId="0" applyNumberFormat="1" applyFont="1" applyFill="1" applyBorder="1" applyAlignment="1" applyProtection="1">
      <alignment horizontal="center" vertical="center" wrapText="1" readingOrder="1"/>
    </xf>
    <xf numFmtId="0" fontId="3" fillId="0" borderId="30" xfId="0" applyNumberFormat="1" applyFont="1" applyFill="1" applyBorder="1" applyAlignment="1" applyProtection="1">
      <alignment horizontal="right" vertical="center" wrapText="1" readingOrder="1"/>
    </xf>
    <xf numFmtId="2" fontId="3" fillId="0" borderId="2" xfId="0" applyNumberFormat="1" applyFont="1" applyFill="1" applyBorder="1" applyAlignment="1" applyProtection="1">
      <alignment horizontal="right" vertical="center" wrapText="1" readingOrder="1"/>
    </xf>
    <xf numFmtId="2" fontId="3" fillId="0" borderId="3" xfId="0" applyNumberFormat="1" applyFont="1" applyFill="1" applyBorder="1" applyAlignment="1" applyProtection="1">
      <alignment horizontal="right" vertical="center" wrapText="1" readingOrder="1"/>
    </xf>
    <xf numFmtId="0" fontId="1" fillId="0" borderId="0" xfId="0" applyNumberFormat="1" applyFont="1" applyFill="1" applyBorder="1" applyAlignment="1" applyProtection="1">
      <alignment horizontal="center" vertical="center" wrapText="1" readingOrder="1"/>
    </xf>
    <xf numFmtId="0" fontId="1" fillId="0" borderId="0" xfId="0" applyNumberFormat="1" applyFont="1" applyFill="1" applyBorder="1" applyAlignment="1" applyProtection="1">
      <alignment horizontal="left" readingOrder="1"/>
    </xf>
    <xf numFmtId="14" fontId="1" fillId="0" borderId="0" xfId="0" applyNumberFormat="1" applyFont="1" applyFill="1" applyBorder="1" applyAlignment="1" applyProtection="1">
      <alignment horizontal="left" readingOrder="1"/>
    </xf>
    <xf numFmtId="0" fontId="2" fillId="0" borderId="0" xfId="0" applyNumberFormat="1" applyFont="1" applyFill="1" applyBorder="1" applyAlignment="1" applyProtection="1">
      <alignment horizontal="center" wrapText="1" readingOrder="1"/>
    </xf>
    <xf numFmtId="0" fontId="1" fillId="0" borderId="1" xfId="0" applyNumberFormat="1" applyFont="1" applyFill="1" applyBorder="1" applyAlignment="1" applyProtection="1">
      <alignment horizontal="center" vertical="center" readingOrder="1"/>
    </xf>
    <xf numFmtId="0" fontId="1" fillId="0" borderId="1" xfId="0" applyNumberFormat="1" applyFont="1" applyFill="1" applyBorder="1" applyAlignment="1" applyProtection="1">
      <alignment horizontal="center" vertical="center" wrapText="1" readingOrder="1"/>
    </xf>
    <xf numFmtId="0" fontId="1" fillId="0" borderId="2" xfId="0" applyNumberFormat="1" applyFont="1" applyFill="1" applyBorder="1" applyAlignment="1" applyProtection="1">
      <alignment horizontal="center" vertical="center" wrapText="1" readingOrder="1"/>
    </xf>
    <xf numFmtId="0" fontId="1" fillId="0" borderId="3" xfId="0" applyNumberFormat="1" applyFont="1" applyFill="1" applyBorder="1" applyAlignment="1" applyProtection="1">
      <alignment horizontal="center" vertical="center" wrapText="1" readingOrder="1"/>
    </xf>
    <xf numFmtId="0" fontId="3" fillId="0" borderId="1" xfId="0" applyNumberFormat="1" applyFont="1" applyFill="1" applyBorder="1" applyAlignment="1" applyProtection="1">
      <alignment horizontal="left" vertical="top" readingOrder="1"/>
    </xf>
    <xf numFmtId="0" fontId="3" fillId="0" borderId="7" xfId="2" applyNumberFormat="1" applyFont="1" applyFill="1" applyBorder="1" applyAlignment="1" applyProtection="1">
      <alignment horizontal="right" vertical="center" wrapText="1" readingOrder="1"/>
    </xf>
    <xf numFmtId="2" fontId="3" fillId="0" borderId="7" xfId="2" applyNumberFormat="1" applyFont="1" applyFill="1" applyBorder="1" applyAlignment="1" applyProtection="1">
      <alignment horizontal="right" vertical="center" wrapText="1" readingOrder="1"/>
    </xf>
    <xf numFmtId="0" fontId="5" fillId="0" borderId="4" xfId="1" applyNumberFormat="1" applyFont="1" applyFill="1" applyBorder="1" applyAlignment="1" applyProtection="1">
      <alignment horizontal="left" vertical="center" wrapText="1" readingOrder="1"/>
    </xf>
    <xf numFmtId="0" fontId="5" fillId="0" borderId="5" xfId="1" applyNumberFormat="1" applyFont="1" applyFill="1" applyBorder="1" applyAlignment="1" applyProtection="1">
      <alignment horizontal="left" vertical="center" wrapText="1" readingOrder="1"/>
    </xf>
    <xf numFmtId="0" fontId="5" fillId="0" borderId="6" xfId="1" applyNumberFormat="1" applyFont="1" applyFill="1" applyBorder="1" applyAlignment="1" applyProtection="1">
      <alignment horizontal="left" vertical="center" wrapText="1" readingOrder="1"/>
    </xf>
    <xf numFmtId="0" fontId="3" fillId="0" borderId="2" xfId="2" applyNumberFormat="1" applyFont="1" applyFill="1" applyBorder="1" applyAlignment="1" applyProtection="1">
      <alignment vertical="center" wrapText="1" readingOrder="1"/>
    </xf>
    <xf numFmtId="0" fontId="3" fillId="0" borderId="3" xfId="2" applyNumberFormat="1" applyFont="1" applyFill="1" applyBorder="1" applyAlignment="1" applyProtection="1">
      <alignment vertical="center" wrapText="1" readingOrder="1"/>
    </xf>
    <xf numFmtId="0" fontId="3" fillId="0" borderId="2" xfId="2" applyNumberFormat="1" applyFont="1" applyFill="1" applyBorder="1" applyAlignment="1" applyProtection="1">
      <alignment horizontal="right" vertical="center" wrapText="1" readingOrder="1"/>
    </xf>
    <xf numFmtId="0" fontId="3" fillId="0" borderId="3" xfId="2" applyNumberFormat="1" applyFont="1" applyFill="1" applyBorder="1" applyAlignment="1" applyProtection="1">
      <alignment horizontal="right" vertical="center" wrapText="1" readingOrder="1"/>
    </xf>
    <xf numFmtId="0" fontId="3" fillId="0" borderId="8" xfId="1" applyNumberFormat="1" applyFont="1" applyFill="1" applyBorder="1" applyAlignment="1" applyProtection="1">
      <alignment horizontal="right" vertical="center" wrapText="1" readingOrder="1"/>
    </xf>
    <xf numFmtId="0" fontId="3" fillId="0" borderId="9" xfId="1" applyNumberFormat="1" applyFont="1" applyFill="1" applyBorder="1" applyAlignment="1" applyProtection="1">
      <alignment horizontal="right" vertical="center" wrapText="1" readingOrder="1"/>
    </xf>
    <xf numFmtId="164" fontId="3" fillId="0" borderId="7" xfId="2" applyNumberFormat="1" applyFont="1" applyFill="1" applyBorder="1" applyAlignment="1" applyProtection="1">
      <alignment horizontal="right" vertical="center" wrapText="1" readingOrder="1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3" fillId="0" borderId="11" xfId="2" applyNumberFormat="1" applyFont="1" applyFill="1" applyBorder="1" applyAlignment="1" applyProtection="1">
      <alignment horizontal="right" vertical="center" wrapText="1" readingOrder="1"/>
    </xf>
    <xf numFmtId="2" fontId="3" fillId="0" borderId="2" xfId="2" applyNumberFormat="1" applyFont="1" applyFill="1" applyBorder="1" applyAlignment="1" applyProtection="1">
      <alignment horizontal="left" vertical="center" wrapText="1" indent="4" readingOrder="1"/>
    </xf>
    <xf numFmtId="2" fontId="3" fillId="0" borderId="3" xfId="2" applyNumberFormat="1" applyFont="1" applyFill="1" applyBorder="1" applyAlignment="1" applyProtection="1">
      <alignment horizontal="left" vertical="center" wrapText="1" indent="4" readingOrder="1"/>
    </xf>
    <xf numFmtId="0" fontId="6" fillId="0" borderId="12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2" fontId="3" fillId="0" borderId="8" xfId="1" applyNumberFormat="1" applyFont="1" applyFill="1" applyBorder="1" applyAlignment="1" applyProtection="1">
      <alignment horizontal="right" vertical="center" wrapText="1" readingOrder="1"/>
    </xf>
    <xf numFmtId="2" fontId="3" fillId="0" borderId="9" xfId="1" applyNumberFormat="1" applyFont="1" applyFill="1" applyBorder="1" applyAlignment="1" applyProtection="1">
      <alignment horizontal="right" vertical="center" wrapText="1" readingOrder="1"/>
    </xf>
    <xf numFmtId="2" fontId="3" fillId="0" borderId="7" xfId="0" applyNumberFormat="1" applyFont="1" applyFill="1" applyBorder="1" applyAlignment="1" applyProtection="1">
      <alignment horizontal="right" vertical="center" wrapText="1" readingOrder="1"/>
    </xf>
    <xf numFmtId="0" fontId="3" fillId="0" borderId="7" xfId="0" applyNumberFormat="1" applyFont="1" applyFill="1" applyBorder="1" applyAlignment="1" applyProtection="1">
      <alignment horizontal="right" vertical="center" wrapText="1" readingOrder="1"/>
    </xf>
    <xf numFmtId="164" fontId="3" fillId="0" borderId="2" xfId="0" applyNumberFormat="1" applyFont="1" applyFill="1" applyBorder="1" applyAlignment="1" applyProtection="1">
      <alignment horizontal="right" vertical="center" wrapText="1" readingOrder="1"/>
    </xf>
    <xf numFmtId="164" fontId="3" fillId="0" borderId="3" xfId="0" applyNumberFormat="1" applyFont="1" applyFill="1" applyBorder="1" applyAlignment="1" applyProtection="1">
      <alignment horizontal="right" vertical="center" wrapText="1" readingOrder="1"/>
    </xf>
    <xf numFmtId="0" fontId="3" fillId="0" borderId="17" xfId="0" applyNumberFormat="1" applyFont="1" applyFill="1" applyBorder="1" applyAlignment="1" applyProtection="1">
      <alignment horizontal="right" vertical="center" wrapText="1" readingOrder="1"/>
    </xf>
    <xf numFmtId="0" fontId="3" fillId="0" borderId="18" xfId="0" applyNumberFormat="1" applyFont="1" applyFill="1" applyBorder="1" applyAlignment="1" applyProtection="1">
      <alignment horizontal="right" vertical="center" wrapText="1" readingOrder="1"/>
    </xf>
    <xf numFmtId="0" fontId="3" fillId="0" borderId="8" xfId="2" applyNumberFormat="1" applyFont="1" applyFill="1" applyBorder="1" applyAlignment="1" applyProtection="1">
      <alignment horizontal="right" vertical="center" wrapText="1" readingOrder="1"/>
    </xf>
    <xf numFmtId="0" fontId="3" fillId="0" borderId="9" xfId="2" applyNumberFormat="1" applyFont="1" applyFill="1" applyBorder="1" applyAlignment="1" applyProtection="1">
      <alignment horizontal="right" vertical="center" wrapText="1" readingOrder="1"/>
    </xf>
    <xf numFmtId="2" fontId="3" fillId="0" borderId="8" xfId="2" applyNumberFormat="1" applyFont="1" applyFill="1" applyBorder="1" applyAlignment="1" applyProtection="1">
      <alignment horizontal="right" vertical="center" wrapText="1" readingOrder="1"/>
    </xf>
    <xf numFmtId="2" fontId="3" fillId="0" borderId="9" xfId="2" applyNumberFormat="1" applyFont="1" applyFill="1" applyBorder="1" applyAlignment="1" applyProtection="1">
      <alignment horizontal="right" vertical="center" wrapText="1" readingOrder="1"/>
    </xf>
    <xf numFmtId="2" fontId="3" fillId="0" borderId="8" xfId="0" applyNumberFormat="1" applyFont="1" applyFill="1" applyBorder="1" applyAlignment="1" applyProtection="1">
      <alignment horizontal="right" vertical="center" wrapText="1" readingOrder="1"/>
    </xf>
    <xf numFmtId="2" fontId="3" fillId="0" borderId="9" xfId="0" applyNumberFormat="1" applyFont="1" applyFill="1" applyBorder="1" applyAlignment="1" applyProtection="1">
      <alignment horizontal="right" vertical="center" wrapText="1" readingOrder="1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7" fillId="0" borderId="8" xfId="0" applyNumberFormat="1" applyFont="1" applyFill="1" applyBorder="1" applyAlignment="1" applyProtection="1">
      <alignment horizontal="right" vertical="center" wrapText="1" readingOrder="1"/>
    </xf>
    <xf numFmtId="0" fontId="7" fillId="0" borderId="9" xfId="0" applyNumberFormat="1" applyFont="1" applyFill="1" applyBorder="1" applyAlignment="1" applyProtection="1">
      <alignment horizontal="right" vertical="center" wrapText="1" readingOrder="1"/>
    </xf>
    <xf numFmtId="0" fontId="3" fillId="0" borderId="1" xfId="0" applyNumberFormat="1" applyFont="1" applyFill="1" applyBorder="1" applyAlignment="1" applyProtection="1">
      <alignment horizontal="right" vertical="center" wrapText="1" readingOrder="1"/>
    </xf>
    <xf numFmtId="2" fontId="3" fillId="0" borderId="1" xfId="0" applyNumberFormat="1" applyFont="1" applyFill="1" applyBorder="1" applyAlignment="1" applyProtection="1">
      <alignment horizontal="right" vertical="center" wrapText="1" readingOrder="1"/>
    </xf>
    <xf numFmtId="0" fontId="3" fillId="0" borderId="1" xfId="0" applyNumberFormat="1" applyFont="1" applyFill="1" applyBorder="1" applyAlignment="1" applyProtection="1">
      <alignment horizontal="center" vertical="center" wrapText="1" readingOrder="1"/>
    </xf>
    <xf numFmtId="0" fontId="3" fillId="0" borderId="1" xfId="2" applyNumberFormat="1" applyFont="1" applyFill="1" applyBorder="1" applyAlignment="1" applyProtection="1">
      <alignment horizontal="right" vertical="center" wrapText="1" readingOrder="1"/>
    </xf>
    <xf numFmtId="0" fontId="3" fillId="0" borderId="8" xfId="0" applyNumberFormat="1" applyFont="1" applyFill="1" applyBorder="1" applyAlignment="1" applyProtection="1">
      <alignment horizontal="right" vertical="center" wrapText="1" readingOrder="1"/>
    </xf>
    <xf numFmtId="0" fontId="3" fillId="0" borderId="9" xfId="0" applyNumberFormat="1" applyFont="1" applyFill="1" applyBorder="1" applyAlignment="1" applyProtection="1">
      <alignment horizontal="right" vertical="center" wrapText="1" readingOrder="1"/>
    </xf>
    <xf numFmtId="2" fontId="3" fillId="0" borderId="1" xfId="0" applyNumberFormat="1" applyFont="1" applyFill="1" applyBorder="1" applyAlignment="1" applyProtection="1">
      <alignment wrapText="1" readingOrder="1"/>
    </xf>
    <xf numFmtId="0" fontId="8" fillId="0" borderId="1" xfId="0" applyNumberFormat="1" applyFont="1" applyFill="1" applyBorder="1" applyAlignment="1" applyProtection="1">
      <alignment horizontal="left" vertical="top" readingOrder="1"/>
    </xf>
    <xf numFmtId="0" fontId="3" fillId="0" borderId="22" xfId="0" applyNumberFormat="1" applyFont="1" applyFill="1" applyBorder="1" applyAlignment="1" applyProtection="1">
      <alignment horizontal="right" vertical="center" wrapText="1" readingOrder="1"/>
    </xf>
    <xf numFmtId="0" fontId="3" fillId="0" borderId="23" xfId="0" applyNumberFormat="1" applyFont="1" applyFill="1" applyBorder="1" applyAlignment="1" applyProtection="1">
      <alignment horizontal="right" vertical="center" wrapText="1" readingOrder="1"/>
    </xf>
    <xf numFmtId="0" fontId="6" fillId="0" borderId="24" xfId="0" applyFont="1" applyBorder="1" applyAlignment="1">
      <alignment horizontal="left"/>
    </xf>
    <xf numFmtId="0" fontId="6" fillId="0" borderId="25" xfId="0" applyFont="1" applyBorder="1" applyAlignment="1">
      <alignment horizontal="left"/>
    </xf>
    <xf numFmtId="0" fontId="6" fillId="0" borderId="26" xfId="0" applyFont="1" applyBorder="1" applyAlignment="1">
      <alignment horizontal="left"/>
    </xf>
    <xf numFmtId="0" fontId="6" fillId="0" borderId="27" xfId="0" applyFont="1" applyBorder="1" applyAlignment="1">
      <alignment horizontal="left"/>
    </xf>
    <xf numFmtId="0" fontId="3" fillId="0" borderId="19" xfId="1" applyNumberFormat="1" applyFont="1" applyFill="1" applyBorder="1" applyAlignment="1" applyProtection="1">
      <alignment horizontal="right" vertical="center" wrapText="1" readingOrder="1"/>
    </xf>
    <xf numFmtId="0" fontId="3" fillId="0" borderId="20" xfId="1" applyNumberFormat="1" applyFont="1" applyFill="1" applyBorder="1" applyAlignment="1" applyProtection="1">
      <alignment horizontal="right" vertical="center" wrapText="1" readingOrder="1"/>
    </xf>
    <xf numFmtId="0" fontId="3" fillId="0" borderId="19" xfId="2" applyNumberFormat="1" applyFont="1" applyFill="1" applyBorder="1" applyAlignment="1" applyProtection="1">
      <alignment horizontal="right" vertical="center" wrapText="1" readingOrder="1"/>
    </xf>
    <xf numFmtId="0" fontId="3" fillId="0" borderId="20" xfId="2" applyNumberFormat="1" applyFont="1" applyFill="1" applyBorder="1" applyAlignment="1" applyProtection="1">
      <alignment horizontal="right" vertical="center" wrapText="1" readingOrder="1"/>
    </xf>
    <xf numFmtId="0" fontId="3" fillId="0" borderId="4" xfId="1" applyNumberFormat="1" applyFont="1" applyFill="1" applyBorder="1" applyAlignment="1" applyProtection="1">
      <alignment horizontal="right" vertical="center" wrapText="1" readingOrder="1"/>
    </xf>
    <xf numFmtId="0" fontId="3" fillId="0" borderId="28" xfId="1" applyNumberFormat="1" applyFont="1" applyFill="1" applyBorder="1" applyAlignment="1" applyProtection="1">
      <alignment horizontal="right" vertical="center" wrapText="1" readingOrder="1"/>
    </xf>
    <xf numFmtId="2" fontId="3" fillId="0" borderId="2" xfId="0" applyNumberFormat="1" applyFont="1" applyFill="1" applyBorder="1" applyAlignment="1" applyProtection="1">
      <alignment vertical="center" wrapText="1" readingOrder="1"/>
    </xf>
    <xf numFmtId="2" fontId="3" fillId="0" borderId="3" xfId="0" applyNumberFormat="1" applyFont="1" applyFill="1" applyBorder="1" applyAlignment="1" applyProtection="1">
      <alignment vertical="center" wrapText="1" readingOrder="1"/>
    </xf>
    <xf numFmtId="0" fontId="3" fillId="0" borderId="2" xfId="0" applyNumberFormat="1" applyFont="1" applyFill="1" applyBorder="1" applyAlignment="1" applyProtection="1">
      <alignment horizontal="right" vertical="center" wrapText="1" readingOrder="1"/>
    </xf>
    <xf numFmtId="0" fontId="3" fillId="0" borderId="3" xfId="0" applyNumberFormat="1" applyFont="1" applyFill="1" applyBorder="1" applyAlignment="1" applyProtection="1">
      <alignment horizontal="right" vertical="center" wrapText="1" readingOrder="1"/>
    </xf>
    <xf numFmtId="0" fontId="3" fillId="0" borderId="10" xfId="0" applyNumberFormat="1" applyFont="1" applyFill="1" applyBorder="1" applyAlignment="1" applyProtection="1">
      <alignment horizontal="right" vertical="center" wrapText="1" readingOrder="1"/>
    </xf>
    <xf numFmtId="2" fontId="3" fillId="0" borderId="10" xfId="2" applyNumberFormat="1" applyFont="1" applyFill="1" applyBorder="1" applyAlignment="1" applyProtection="1">
      <alignment horizontal="right" vertical="center" wrapText="1" readingOrder="1"/>
    </xf>
    <xf numFmtId="0" fontId="9" fillId="0" borderId="2" xfId="0" applyFont="1" applyFill="1" applyBorder="1" applyAlignment="1">
      <alignment horizontal="right"/>
    </xf>
    <xf numFmtId="0" fontId="9" fillId="0" borderId="3" xfId="0" applyFont="1" applyFill="1" applyBorder="1" applyAlignment="1">
      <alignment horizontal="right"/>
    </xf>
    <xf numFmtId="0" fontId="6" fillId="0" borderId="29" xfId="0" applyFont="1" applyBorder="1" applyAlignment="1">
      <alignment horizontal="left"/>
    </xf>
    <xf numFmtId="0" fontId="7" fillId="0" borderId="7" xfId="0" applyNumberFormat="1" applyFont="1" applyFill="1" applyBorder="1" applyAlignment="1" applyProtection="1">
      <alignment horizontal="right" vertical="center" wrapText="1" readingOrder="1"/>
    </xf>
    <xf numFmtId="2" fontId="3" fillId="0" borderId="10" xfId="0" applyNumberFormat="1" applyFont="1" applyFill="1" applyBorder="1" applyAlignment="1" applyProtection="1">
      <alignment horizontal="right" vertical="center" wrapText="1" readingOrder="1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3"/>
  <sheetViews>
    <sheetView tabSelected="1" topLeftCell="A194" workbookViewId="0">
      <selection sqref="A1:L213"/>
    </sheetView>
  </sheetViews>
  <sheetFormatPr defaultRowHeight="15" x14ac:dyDescent="0.25"/>
  <cols>
    <col min="1" max="1" width="3.28515625" customWidth="1"/>
    <col min="2" max="2" width="21" customWidth="1"/>
    <col min="3" max="3" width="7.7109375" customWidth="1"/>
    <col min="4" max="4" width="6" customWidth="1"/>
    <col min="5" max="6" width="6.5703125" customWidth="1"/>
    <col min="7" max="7" width="7.5703125" customWidth="1"/>
    <col min="8" max="8" width="5.140625" customWidth="1"/>
    <col min="9" max="9" width="4.85546875" customWidth="1"/>
    <col min="10" max="10" width="7.140625" customWidth="1"/>
    <col min="11" max="11" width="7" customWidth="1"/>
    <col min="12" max="12" width="6.42578125" customWidth="1"/>
  </cols>
  <sheetData>
    <row r="1" spans="1:12" x14ac:dyDescent="0.25">
      <c r="I1" s="76" t="s">
        <v>0</v>
      </c>
      <c r="J1" s="76"/>
      <c r="K1" s="76"/>
      <c r="L1" s="76"/>
    </row>
    <row r="2" spans="1:12" x14ac:dyDescent="0.25">
      <c r="A2" s="77" t="s">
        <v>1</v>
      </c>
      <c r="B2" s="77"/>
      <c r="C2" s="77"/>
      <c r="D2" s="77"/>
      <c r="E2" s="77"/>
      <c r="F2" s="77"/>
      <c r="G2" s="77"/>
      <c r="H2" s="77"/>
      <c r="I2" s="76"/>
      <c r="J2" s="76"/>
      <c r="K2" s="76"/>
      <c r="L2" s="76"/>
    </row>
    <row r="3" spans="1:12" x14ac:dyDescent="0.25">
      <c r="A3" s="78">
        <v>45328</v>
      </c>
      <c r="B3" s="77"/>
      <c r="C3" s="77"/>
      <c r="D3" s="77"/>
      <c r="E3" s="77"/>
      <c r="F3" s="77"/>
      <c r="G3" s="77"/>
      <c r="H3" s="77"/>
      <c r="I3" s="76"/>
      <c r="J3" s="76"/>
      <c r="K3" s="76"/>
      <c r="L3" s="76"/>
    </row>
    <row r="5" spans="1:12" ht="20.25" x14ac:dyDescent="0.3">
      <c r="A5" s="79" t="s">
        <v>2</v>
      </c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33.75" x14ac:dyDescent="0.25">
      <c r="A7" s="80" t="s">
        <v>3</v>
      </c>
      <c r="B7" s="81" t="s">
        <v>4</v>
      </c>
      <c r="C7" s="81" t="s">
        <v>5</v>
      </c>
      <c r="D7" s="2" t="s">
        <v>6</v>
      </c>
      <c r="E7" s="2" t="s">
        <v>7</v>
      </c>
      <c r="F7" s="2" t="s">
        <v>8</v>
      </c>
      <c r="G7" s="3" t="s">
        <v>9</v>
      </c>
      <c r="H7" s="82" t="s">
        <v>6</v>
      </c>
      <c r="I7" s="83"/>
      <c r="J7" s="2" t="s">
        <v>7</v>
      </c>
      <c r="K7" s="2" t="s">
        <v>8</v>
      </c>
      <c r="L7" s="3" t="s">
        <v>9</v>
      </c>
    </row>
    <row r="8" spans="1:12" x14ac:dyDescent="0.25">
      <c r="A8" s="80"/>
      <c r="B8" s="81"/>
      <c r="C8" s="81"/>
      <c r="D8" s="84"/>
      <c r="E8" s="84"/>
      <c r="F8" s="84"/>
      <c r="G8" s="84"/>
      <c r="H8" s="84"/>
      <c r="I8" s="84"/>
      <c r="J8" s="84"/>
      <c r="K8" s="84"/>
      <c r="L8" s="84"/>
    </row>
    <row r="9" spans="1:12" x14ac:dyDescent="0.25">
      <c r="A9" s="80"/>
      <c r="B9" s="81"/>
      <c r="C9" s="81"/>
      <c r="D9" s="80" t="s">
        <v>10</v>
      </c>
      <c r="E9" s="80"/>
      <c r="F9" s="80"/>
      <c r="G9" s="80"/>
      <c r="H9" s="80" t="s">
        <v>11</v>
      </c>
      <c r="I9" s="80"/>
      <c r="J9" s="80"/>
      <c r="K9" s="80"/>
      <c r="L9" s="80"/>
    </row>
    <row r="10" spans="1:12" ht="19.5" thickBot="1" x14ac:dyDescent="0.3">
      <c r="A10" s="87" t="s">
        <v>12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9"/>
    </row>
    <row r="11" spans="1:12" s="25" customFormat="1" x14ac:dyDescent="0.25">
      <c r="A11" s="4">
        <v>1</v>
      </c>
      <c r="B11" s="5" t="s">
        <v>13</v>
      </c>
      <c r="C11" s="6">
        <v>0.25519999999999998</v>
      </c>
      <c r="D11" s="6" t="s">
        <v>14</v>
      </c>
      <c r="E11" s="6" t="s">
        <v>15</v>
      </c>
      <c r="F11" s="6" t="s">
        <v>16</v>
      </c>
      <c r="G11" s="6" t="s">
        <v>17</v>
      </c>
      <c r="H11" s="85" t="s">
        <v>18</v>
      </c>
      <c r="I11" s="85"/>
      <c r="J11" s="6" t="s">
        <v>19</v>
      </c>
      <c r="K11" s="6" t="s">
        <v>20</v>
      </c>
      <c r="L11" s="6" t="s">
        <v>21</v>
      </c>
    </row>
    <row r="12" spans="1:12" s="25" customFormat="1" ht="22.5" x14ac:dyDescent="0.25">
      <c r="A12" s="4">
        <v>2</v>
      </c>
      <c r="B12" s="5" t="s">
        <v>22</v>
      </c>
      <c r="C12" s="6">
        <v>0.36499999999999999</v>
      </c>
      <c r="D12" s="6">
        <v>28</v>
      </c>
      <c r="E12" s="6">
        <v>1</v>
      </c>
      <c r="F12" s="6">
        <v>4</v>
      </c>
      <c r="G12" s="6">
        <v>278</v>
      </c>
      <c r="H12" s="86">
        <f>D12*C12*10</f>
        <v>102.19999999999999</v>
      </c>
      <c r="I12" s="86"/>
      <c r="J12" s="6">
        <f>E12*C12*10</f>
        <v>3.65</v>
      </c>
      <c r="K12" s="6">
        <f>F12*C12*10</f>
        <v>14.6</v>
      </c>
      <c r="L12" s="6">
        <f>G12*C12*10</f>
        <v>1014.7</v>
      </c>
    </row>
    <row r="13" spans="1:12" s="25" customFormat="1" ht="22.5" x14ac:dyDescent="0.25">
      <c r="A13" s="4">
        <v>3</v>
      </c>
      <c r="B13" s="5" t="s">
        <v>23</v>
      </c>
      <c r="C13" s="6">
        <v>0.22700000000000001</v>
      </c>
      <c r="D13" s="6">
        <v>25</v>
      </c>
      <c r="E13" s="6">
        <v>1</v>
      </c>
      <c r="F13" s="6">
        <v>6</v>
      </c>
      <c r="G13" s="6">
        <v>255</v>
      </c>
      <c r="H13" s="85">
        <f>D13*C13*10</f>
        <v>56.75</v>
      </c>
      <c r="I13" s="85"/>
      <c r="J13" s="6">
        <f>E13*C13*10</f>
        <v>2.27</v>
      </c>
      <c r="K13" s="6">
        <f>F13*C13*10</f>
        <v>13.620000000000001</v>
      </c>
      <c r="L13" s="6">
        <f>G13*C13*10</f>
        <v>578.85</v>
      </c>
    </row>
    <row r="14" spans="1:12" s="25" customFormat="1" x14ac:dyDescent="0.25">
      <c r="A14" s="4">
        <v>4</v>
      </c>
      <c r="B14" s="5" t="s">
        <v>24</v>
      </c>
      <c r="C14" s="6" t="s">
        <v>25</v>
      </c>
      <c r="D14" s="6" t="s">
        <v>26</v>
      </c>
      <c r="E14" s="6" t="s">
        <v>27</v>
      </c>
      <c r="F14" s="6" t="s">
        <v>28</v>
      </c>
      <c r="G14" s="6" t="s">
        <v>29</v>
      </c>
      <c r="H14" s="85" t="s">
        <v>30</v>
      </c>
      <c r="I14" s="85"/>
      <c r="J14" s="6" t="s">
        <v>31</v>
      </c>
      <c r="K14" s="6" t="s">
        <v>32</v>
      </c>
      <c r="L14" s="6">
        <v>545.45000000000005</v>
      </c>
    </row>
    <row r="15" spans="1:12" s="25" customFormat="1" x14ac:dyDescent="0.25">
      <c r="A15" s="4">
        <v>5</v>
      </c>
      <c r="B15" s="5" t="s">
        <v>33</v>
      </c>
      <c r="C15" s="6">
        <v>0.216</v>
      </c>
      <c r="D15" s="6">
        <v>5</v>
      </c>
      <c r="E15" s="6">
        <v>9</v>
      </c>
      <c r="F15" s="6">
        <v>10</v>
      </c>
      <c r="G15" s="6">
        <v>116</v>
      </c>
      <c r="H15" s="85">
        <f>C15*D15*10</f>
        <v>10.8</v>
      </c>
      <c r="I15" s="85"/>
      <c r="J15" s="6">
        <f>C15*E15*10</f>
        <v>19.439999999999998</v>
      </c>
      <c r="K15" s="6">
        <f>C15*F15*10</f>
        <v>21.6</v>
      </c>
      <c r="L15" s="6">
        <f>C15*G15*10</f>
        <v>250.56</v>
      </c>
    </row>
    <row r="16" spans="1:12" s="25" customFormat="1" x14ac:dyDescent="0.25">
      <c r="A16" s="4">
        <v>6</v>
      </c>
      <c r="B16" s="5" t="s">
        <v>34</v>
      </c>
      <c r="C16" s="6" t="s">
        <v>35</v>
      </c>
      <c r="D16" s="6" t="s">
        <v>36</v>
      </c>
      <c r="E16" s="6" t="s">
        <v>37</v>
      </c>
      <c r="F16" s="6" t="s">
        <v>38</v>
      </c>
      <c r="G16" s="6" t="s">
        <v>39</v>
      </c>
      <c r="H16" s="85" t="s">
        <v>40</v>
      </c>
      <c r="I16" s="85"/>
      <c r="J16" s="6" t="s">
        <v>41</v>
      </c>
      <c r="K16" s="6" t="s">
        <v>42</v>
      </c>
      <c r="L16" s="6" t="s">
        <v>43</v>
      </c>
    </row>
    <row r="17" spans="1:12" s="25" customFormat="1" x14ac:dyDescent="0.25">
      <c r="A17" s="4">
        <v>7</v>
      </c>
      <c r="B17" s="5" t="s">
        <v>44</v>
      </c>
      <c r="C17" s="6">
        <v>0.23400000000000001</v>
      </c>
      <c r="D17" s="6">
        <v>13</v>
      </c>
      <c r="E17" s="6">
        <v>1.5</v>
      </c>
      <c r="F17" s="6">
        <v>4.5</v>
      </c>
      <c r="G17" s="6">
        <v>140</v>
      </c>
      <c r="H17" s="86">
        <f>D17*C17*10</f>
        <v>30.42</v>
      </c>
      <c r="I17" s="86"/>
      <c r="J17" s="6">
        <f>E17*C17*10</f>
        <v>3.5100000000000002</v>
      </c>
      <c r="K17" s="6">
        <f>F17*C17*10</f>
        <v>10.530000000000001</v>
      </c>
      <c r="L17" s="7">
        <f>G17*C17*10</f>
        <v>327.60000000000002</v>
      </c>
    </row>
    <row r="18" spans="1:12" s="25" customFormat="1" x14ac:dyDescent="0.25">
      <c r="A18" s="4">
        <v>8</v>
      </c>
      <c r="B18" s="5" t="s">
        <v>45</v>
      </c>
      <c r="C18" s="6">
        <v>0.1865</v>
      </c>
      <c r="D18" s="6">
        <v>17</v>
      </c>
      <c r="E18" s="6">
        <v>1</v>
      </c>
      <c r="F18" s="6">
        <v>2</v>
      </c>
      <c r="G18" s="6">
        <v>164</v>
      </c>
      <c r="H18" s="86">
        <f>D18*C18*10</f>
        <v>31.705000000000002</v>
      </c>
      <c r="I18" s="86"/>
      <c r="J18" s="8">
        <f>E18*C18*10</f>
        <v>1.865</v>
      </c>
      <c r="K18" s="6">
        <f>F18*C18*10</f>
        <v>3.73</v>
      </c>
      <c r="L18" s="6">
        <f>G18*C18*10</f>
        <v>305.86</v>
      </c>
    </row>
    <row r="19" spans="1:12" s="25" customFormat="1" ht="22.5" x14ac:dyDescent="0.25">
      <c r="A19" s="4">
        <v>9</v>
      </c>
      <c r="B19" s="5" t="s">
        <v>46</v>
      </c>
      <c r="C19" s="6">
        <v>0.245</v>
      </c>
      <c r="D19" s="6">
        <v>12</v>
      </c>
      <c r="E19" s="6">
        <v>10</v>
      </c>
      <c r="F19" s="6">
        <v>22</v>
      </c>
      <c r="G19" s="6">
        <v>233</v>
      </c>
      <c r="H19" s="85">
        <f>C19*D19*10</f>
        <v>29.4</v>
      </c>
      <c r="I19" s="85"/>
      <c r="J19" s="6">
        <f>C19*E19*10</f>
        <v>24.5</v>
      </c>
      <c r="K19" s="6">
        <f>C19*F19*10</f>
        <v>53.9</v>
      </c>
      <c r="L19" s="6">
        <f>C19*G19*10</f>
        <v>570.85</v>
      </c>
    </row>
    <row r="20" spans="1:12" s="25" customFormat="1" ht="22.5" x14ac:dyDescent="0.25">
      <c r="A20" s="4">
        <v>10</v>
      </c>
      <c r="B20" s="5" t="s">
        <v>47</v>
      </c>
      <c r="C20" s="6">
        <v>0.30249999999999999</v>
      </c>
      <c r="D20" s="6">
        <v>10</v>
      </c>
      <c r="E20" s="6">
        <v>6</v>
      </c>
      <c r="F20" s="6">
        <v>6</v>
      </c>
      <c r="G20" s="6">
        <v>119</v>
      </c>
      <c r="H20" s="85">
        <f>C20*D20*10</f>
        <v>30.25</v>
      </c>
      <c r="I20" s="85"/>
      <c r="J20" s="6">
        <f>C20*E20*10</f>
        <v>18.149999999999999</v>
      </c>
      <c r="K20" s="6">
        <f>C20*F20*10</f>
        <v>18.149999999999999</v>
      </c>
      <c r="L20" s="6">
        <f>C20*G20*10</f>
        <v>359.97500000000002</v>
      </c>
    </row>
    <row r="21" spans="1:12" s="25" customFormat="1" x14ac:dyDescent="0.25">
      <c r="A21" s="4">
        <v>11</v>
      </c>
      <c r="B21" s="5" t="s">
        <v>48</v>
      </c>
      <c r="C21" s="6" t="s">
        <v>49</v>
      </c>
      <c r="D21" s="6">
        <v>10</v>
      </c>
      <c r="E21" s="6">
        <v>5</v>
      </c>
      <c r="F21" s="6" t="s">
        <v>50</v>
      </c>
      <c r="G21" s="6" t="s">
        <v>51</v>
      </c>
      <c r="H21" s="85">
        <f>D21*C21*10</f>
        <v>34.5</v>
      </c>
      <c r="I21" s="85"/>
      <c r="J21" s="6">
        <f>E21*C21*10</f>
        <v>17.25</v>
      </c>
      <c r="K21" s="8">
        <f>F21*C21*10</f>
        <v>13.937999999999999</v>
      </c>
      <c r="L21" s="7">
        <f>G21*C21*10</f>
        <v>424.72949999999997</v>
      </c>
    </row>
    <row r="22" spans="1:12" s="25" customFormat="1" x14ac:dyDescent="0.25">
      <c r="A22" s="4">
        <v>12</v>
      </c>
      <c r="B22" s="5" t="s">
        <v>52</v>
      </c>
      <c r="C22" s="6">
        <v>0.20569999999999999</v>
      </c>
      <c r="D22" s="6">
        <v>10</v>
      </c>
      <c r="E22" s="6">
        <v>1</v>
      </c>
      <c r="F22" s="6">
        <v>5</v>
      </c>
      <c r="G22" s="6">
        <v>112</v>
      </c>
      <c r="H22" s="85">
        <f>C22*D22*10</f>
        <v>20.57</v>
      </c>
      <c r="I22" s="85"/>
      <c r="J22" s="8">
        <f>C22*E22*10</f>
        <v>2.0569999999999999</v>
      </c>
      <c r="K22" s="8">
        <f>C22*F22*10</f>
        <v>10.285</v>
      </c>
      <c r="L22" s="8">
        <f>C22*G22*10</f>
        <v>230.38399999999999</v>
      </c>
    </row>
    <row r="23" spans="1:12" s="25" customFormat="1" x14ac:dyDescent="0.25">
      <c r="A23" s="4">
        <v>13</v>
      </c>
      <c r="B23" s="5" t="s">
        <v>53</v>
      </c>
      <c r="C23" s="6">
        <v>0.34060000000000001</v>
      </c>
      <c r="D23" s="6">
        <v>5</v>
      </c>
      <c r="E23" s="6">
        <v>5</v>
      </c>
      <c r="F23" s="6">
        <v>4</v>
      </c>
      <c r="G23" s="6">
        <v>82</v>
      </c>
      <c r="H23" s="86">
        <f>C23*D23*10</f>
        <v>17.03</v>
      </c>
      <c r="I23" s="86"/>
      <c r="J23" s="6">
        <f>C23*E23*10</f>
        <v>17.03</v>
      </c>
      <c r="K23" s="8">
        <f>C23*F23*10</f>
        <v>13.624000000000001</v>
      </c>
      <c r="L23" s="8">
        <f>C23*G23*10</f>
        <v>279.29200000000003</v>
      </c>
    </row>
    <row r="24" spans="1:12" s="25" customFormat="1" ht="22.5" x14ac:dyDescent="0.25">
      <c r="A24" s="4">
        <v>15</v>
      </c>
      <c r="B24" s="5" t="s">
        <v>54</v>
      </c>
      <c r="C24" s="6">
        <v>0.27900000000000003</v>
      </c>
      <c r="D24" s="6">
        <v>12</v>
      </c>
      <c r="E24" s="6">
        <v>9</v>
      </c>
      <c r="F24" s="6">
        <v>2</v>
      </c>
      <c r="G24" s="6">
        <v>152</v>
      </c>
      <c r="H24" s="85">
        <f>C24*D24*10</f>
        <v>33.480000000000004</v>
      </c>
      <c r="I24" s="85"/>
      <c r="J24" s="6">
        <f>C24*E24*10</f>
        <v>25.11</v>
      </c>
      <c r="K24" s="6">
        <f>C24*F24*10</f>
        <v>5.58</v>
      </c>
      <c r="L24" s="6">
        <f>C24*G24*10</f>
        <v>424.08000000000004</v>
      </c>
    </row>
    <row r="25" spans="1:12" s="25" customFormat="1" ht="18" customHeight="1" x14ac:dyDescent="0.25">
      <c r="A25" s="4">
        <v>16</v>
      </c>
      <c r="B25" s="5" t="s">
        <v>55</v>
      </c>
      <c r="C25" s="9" t="s">
        <v>56</v>
      </c>
      <c r="D25" s="9" t="s">
        <v>57</v>
      </c>
      <c r="E25" s="9" t="s">
        <v>58</v>
      </c>
      <c r="F25" s="9" t="s">
        <v>59</v>
      </c>
      <c r="G25" s="9" t="s">
        <v>60</v>
      </c>
      <c r="H25" s="94" t="s">
        <v>57</v>
      </c>
      <c r="I25" s="95"/>
      <c r="J25" s="9" t="s">
        <v>58</v>
      </c>
      <c r="K25" s="9" t="s">
        <v>59</v>
      </c>
      <c r="L25" s="9" t="s">
        <v>60</v>
      </c>
    </row>
    <row r="26" spans="1:12" s="25" customFormat="1" ht="19.5" customHeight="1" x14ac:dyDescent="0.25">
      <c r="A26" s="4">
        <v>17</v>
      </c>
      <c r="B26" s="5" t="s">
        <v>61</v>
      </c>
      <c r="C26" s="6">
        <v>0.16209999999999999</v>
      </c>
      <c r="D26" s="6">
        <v>17</v>
      </c>
      <c r="E26" s="6">
        <v>21</v>
      </c>
      <c r="F26" s="6" t="s">
        <v>62</v>
      </c>
      <c r="G26" s="6" t="s">
        <v>63</v>
      </c>
      <c r="H26" s="96">
        <f>C26*D26*10</f>
        <v>27.557000000000002</v>
      </c>
      <c r="I26" s="96"/>
      <c r="J26" s="7">
        <f>C26*E26</f>
        <v>3.4040999999999997</v>
      </c>
      <c r="K26" s="7">
        <f>C26*F26*10</f>
        <v>1.3616399999999997</v>
      </c>
      <c r="L26" s="7">
        <f>C26*G26*10</f>
        <v>422.77301</v>
      </c>
    </row>
    <row r="27" spans="1:12" s="25" customFormat="1" ht="21" customHeight="1" x14ac:dyDescent="0.25">
      <c r="A27" s="4">
        <v>18</v>
      </c>
      <c r="B27" s="5" t="s">
        <v>64</v>
      </c>
      <c r="C27" s="6">
        <v>0.432</v>
      </c>
      <c r="D27" s="6">
        <v>17</v>
      </c>
      <c r="E27" s="6">
        <v>12</v>
      </c>
      <c r="F27" s="6">
        <v>8</v>
      </c>
      <c r="G27" s="6">
        <v>234</v>
      </c>
      <c r="H27" s="85">
        <f>D27*C27*10</f>
        <v>73.44</v>
      </c>
      <c r="I27" s="85"/>
      <c r="J27" s="6">
        <f>E27*C27*10</f>
        <v>51.84</v>
      </c>
      <c r="K27" s="6">
        <f>F27*C27*10</f>
        <v>34.56</v>
      </c>
      <c r="L27" s="6">
        <f>G27*C27*10</f>
        <v>1010.8799999999999</v>
      </c>
    </row>
    <row r="28" spans="1:12" s="25" customFormat="1" ht="17.25" customHeight="1" x14ac:dyDescent="0.25">
      <c r="A28" s="4">
        <v>19</v>
      </c>
      <c r="B28" s="5" t="s">
        <v>65</v>
      </c>
      <c r="C28" s="6">
        <v>0.29820000000000002</v>
      </c>
      <c r="D28" s="6">
        <v>10</v>
      </c>
      <c r="E28" s="6">
        <v>7</v>
      </c>
      <c r="F28" s="6">
        <v>5</v>
      </c>
      <c r="G28" s="6">
        <v>135</v>
      </c>
      <c r="H28" s="85">
        <f>C28*D28*10</f>
        <v>29.82</v>
      </c>
      <c r="I28" s="85"/>
      <c r="J28" s="6">
        <f>C28*E28*10</f>
        <v>20.874000000000002</v>
      </c>
      <c r="K28" s="6">
        <f>C28*F28*10</f>
        <v>14.91</v>
      </c>
      <c r="L28" s="6">
        <f>C28*G28*10</f>
        <v>402.57000000000005</v>
      </c>
    </row>
    <row r="29" spans="1:12" s="25" customFormat="1" ht="18" customHeight="1" x14ac:dyDescent="0.25">
      <c r="A29" s="10">
        <v>20</v>
      </c>
      <c r="B29" s="11" t="s">
        <v>66</v>
      </c>
      <c r="C29" s="12">
        <v>0.30819999999999997</v>
      </c>
      <c r="D29" s="13">
        <v>10</v>
      </c>
      <c r="E29" s="13">
        <v>8</v>
      </c>
      <c r="F29" s="13">
        <v>5</v>
      </c>
      <c r="G29" s="13">
        <v>140</v>
      </c>
      <c r="H29" s="85">
        <f>C29*D29*10</f>
        <v>30.82</v>
      </c>
      <c r="I29" s="85"/>
      <c r="J29" s="6">
        <f>C29*E29*10</f>
        <v>24.655999999999999</v>
      </c>
      <c r="K29" s="6">
        <f>C29*F29*10</f>
        <v>15.41</v>
      </c>
      <c r="L29" s="14">
        <f>C29*G29*10</f>
        <v>431.47999999999996</v>
      </c>
    </row>
    <row r="30" spans="1:12" s="25" customFormat="1" x14ac:dyDescent="0.25">
      <c r="A30" s="15">
        <v>21</v>
      </c>
      <c r="B30" s="16" t="s">
        <v>67</v>
      </c>
      <c r="C30" s="17">
        <v>0.1431</v>
      </c>
      <c r="D30" s="18">
        <v>17.13</v>
      </c>
      <c r="E30" s="18">
        <v>3</v>
      </c>
      <c r="F30" s="18">
        <v>1.03</v>
      </c>
      <c r="G30" s="18">
        <v>166.13</v>
      </c>
      <c r="H30" s="90">
        <v>28.22</v>
      </c>
      <c r="I30" s="91"/>
      <c r="J30" s="19">
        <f>E30*C30*10</f>
        <v>4.2930000000000001</v>
      </c>
      <c r="K30" s="20">
        <v>17.09</v>
      </c>
      <c r="L30" s="21">
        <v>237.38</v>
      </c>
    </row>
    <row r="31" spans="1:12" s="25" customFormat="1" x14ac:dyDescent="0.25">
      <c r="A31" s="15">
        <v>22</v>
      </c>
      <c r="B31" s="16" t="s">
        <v>68</v>
      </c>
      <c r="C31" s="17">
        <v>0.28899999999999998</v>
      </c>
      <c r="D31" s="18">
        <v>26</v>
      </c>
      <c r="E31" s="18">
        <v>10</v>
      </c>
      <c r="F31" s="18">
        <v>5</v>
      </c>
      <c r="G31" s="18">
        <v>288</v>
      </c>
      <c r="H31" s="92">
        <f>D31*C31*10</f>
        <v>75.139999999999986</v>
      </c>
      <c r="I31" s="93"/>
      <c r="J31" s="20">
        <f>E31*C31*10</f>
        <v>28.9</v>
      </c>
      <c r="K31" s="20">
        <f>F31*C31*10</f>
        <v>14.45</v>
      </c>
      <c r="L31" s="21">
        <f>G31*C31*10</f>
        <v>832.31999999999994</v>
      </c>
    </row>
    <row r="32" spans="1:12" s="25" customFormat="1" ht="22.5" x14ac:dyDescent="0.25">
      <c r="A32" s="15">
        <v>24</v>
      </c>
      <c r="B32" s="16" t="s">
        <v>69</v>
      </c>
      <c r="C32" s="17">
        <v>0.28299999999999997</v>
      </c>
      <c r="D32" s="18">
        <v>12</v>
      </c>
      <c r="E32" s="18">
        <v>6</v>
      </c>
      <c r="F32" s="18">
        <v>9</v>
      </c>
      <c r="G32" s="18">
        <v>171</v>
      </c>
      <c r="H32" s="90">
        <f>D32*C32*10</f>
        <v>33.96</v>
      </c>
      <c r="I32" s="91"/>
      <c r="J32" s="20">
        <f>E32*C32*10</f>
        <v>16.98</v>
      </c>
      <c r="K32" s="20">
        <f>F32*C32*10</f>
        <v>25.47</v>
      </c>
      <c r="L32" s="19">
        <f>G32*C32*10</f>
        <v>483.92999999999995</v>
      </c>
    </row>
    <row r="33" spans="1:12" s="25" customFormat="1" ht="22.5" x14ac:dyDescent="0.25">
      <c r="A33" s="15">
        <v>25</v>
      </c>
      <c r="B33" s="16" t="s">
        <v>70</v>
      </c>
      <c r="C33" s="17">
        <v>0.2281</v>
      </c>
      <c r="D33" s="18">
        <v>19</v>
      </c>
      <c r="E33" s="18">
        <v>5</v>
      </c>
      <c r="F33" s="18">
        <v>7</v>
      </c>
      <c r="G33" s="18">
        <v>214</v>
      </c>
      <c r="H33" s="100">
        <f>C33*D33*10</f>
        <v>43.338999999999999</v>
      </c>
      <c r="I33" s="101"/>
      <c r="J33" s="19">
        <f t="shared" ref="J33:J37" si="0">C33*E33*10</f>
        <v>11.405000000000001</v>
      </c>
      <c r="K33" s="19">
        <f t="shared" ref="K33:K37" si="1">C33*F33*10</f>
        <v>15.967000000000001</v>
      </c>
      <c r="L33" s="19">
        <f t="shared" ref="L33:L37" si="2">C33*G33*10</f>
        <v>488.13400000000001</v>
      </c>
    </row>
    <row r="34" spans="1:12" s="25" customFormat="1" x14ac:dyDescent="0.25">
      <c r="A34" s="15">
        <v>26</v>
      </c>
      <c r="B34" s="16" t="s">
        <v>71</v>
      </c>
      <c r="C34" s="17">
        <v>0.20899999999999999</v>
      </c>
      <c r="D34" s="18">
        <v>15</v>
      </c>
      <c r="E34" s="18">
        <v>2</v>
      </c>
      <c r="F34" s="18">
        <v>14</v>
      </c>
      <c r="G34" s="18">
        <v>202</v>
      </c>
      <c r="H34" s="100">
        <f>C34*D34*10</f>
        <v>31.349999999999998</v>
      </c>
      <c r="I34" s="101"/>
      <c r="J34" s="19">
        <f t="shared" si="0"/>
        <v>4.18</v>
      </c>
      <c r="K34" s="19">
        <f t="shared" si="1"/>
        <v>29.259999999999998</v>
      </c>
      <c r="L34" s="19">
        <f t="shared" si="2"/>
        <v>422.17999999999995</v>
      </c>
    </row>
    <row r="35" spans="1:12" s="25" customFormat="1" ht="22.5" x14ac:dyDescent="0.25">
      <c r="A35" s="15">
        <v>27</v>
      </c>
      <c r="B35" s="16" t="s">
        <v>72</v>
      </c>
      <c r="C35" s="17">
        <v>0.22700000000000001</v>
      </c>
      <c r="D35" s="18">
        <v>6</v>
      </c>
      <c r="E35" s="18">
        <v>5</v>
      </c>
      <c r="F35" s="18">
        <v>4</v>
      </c>
      <c r="G35" s="18">
        <v>101</v>
      </c>
      <c r="H35" s="100">
        <f>C35*D35*10</f>
        <v>13.620000000000001</v>
      </c>
      <c r="I35" s="101"/>
      <c r="J35" s="19">
        <f t="shared" si="0"/>
        <v>11.35</v>
      </c>
      <c r="K35" s="19">
        <f t="shared" si="1"/>
        <v>9.08</v>
      </c>
      <c r="L35" s="19">
        <f t="shared" si="2"/>
        <v>229.26999999999998</v>
      </c>
    </row>
    <row r="36" spans="1:12" s="25" customFormat="1" x14ac:dyDescent="0.25">
      <c r="A36" s="15">
        <v>28</v>
      </c>
      <c r="B36" s="16" t="s">
        <v>73</v>
      </c>
      <c r="C36" s="17">
        <v>0.22700000000000001</v>
      </c>
      <c r="D36" s="18">
        <v>17</v>
      </c>
      <c r="E36" s="18">
        <v>12</v>
      </c>
      <c r="F36" s="18">
        <v>8</v>
      </c>
      <c r="G36" s="18">
        <v>230</v>
      </c>
      <c r="H36" s="100">
        <f>C36*D36*10</f>
        <v>38.590000000000003</v>
      </c>
      <c r="I36" s="101"/>
      <c r="J36" s="19">
        <f t="shared" si="0"/>
        <v>27.240000000000002</v>
      </c>
      <c r="K36" s="19">
        <f t="shared" si="1"/>
        <v>18.16</v>
      </c>
      <c r="L36" s="19">
        <f t="shared" si="2"/>
        <v>522.1</v>
      </c>
    </row>
    <row r="37" spans="1:12" s="25" customFormat="1" x14ac:dyDescent="0.25">
      <c r="A37" s="15">
        <v>29</v>
      </c>
      <c r="B37" s="16" t="s">
        <v>74</v>
      </c>
      <c r="C37" s="17">
        <v>0.26679999999999998</v>
      </c>
      <c r="D37" s="18">
        <v>13</v>
      </c>
      <c r="E37" s="18">
        <v>8</v>
      </c>
      <c r="F37" s="18">
        <v>2.5</v>
      </c>
      <c r="G37" s="18">
        <v>150</v>
      </c>
      <c r="H37" s="100">
        <f>C37*D37*10</f>
        <v>34.683999999999997</v>
      </c>
      <c r="I37" s="101"/>
      <c r="J37" s="19">
        <f t="shared" si="0"/>
        <v>21.343999999999998</v>
      </c>
      <c r="K37" s="19">
        <f t="shared" si="1"/>
        <v>6.669999999999999</v>
      </c>
      <c r="L37" s="19">
        <f t="shared" si="2"/>
        <v>400.19999999999993</v>
      </c>
    </row>
    <row r="38" spans="1:12" s="25" customFormat="1" ht="22.5" x14ac:dyDescent="0.25">
      <c r="A38" s="15">
        <v>30</v>
      </c>
      <c r="B38" s="16" t="s">
        <v>75</v>
      </c>
      <c r="C38" s="17">
        <v>0.316</v>
      </c>
      <c r="D38" s="18">
        <v>3.5</v>
      </c>
      <c r="E38" s="18">
        <v>1.5</v>
      </c>
      <c r="F38" s="18">
        <v>5.5</v>
      </c>
      <c r="G38" s="18">
        <v>60</v>
      </c>
      <c r="H38" s="100">
        <f>D38*C38*10</f>
        <v>11.06</v>
      </c>
      <c r="I38" s="101"/>
      <c r="J38" s="19">
        <f t="shared" ref="J38" si="3">C38*E38*10</f>
        <v>4.74</v>
      </c>
      <c r="K38" s="19">
        <f t="shared" ref="K38" si="4">C38*F38*10</f>
        <v>17.38</v>
      </c>
      <c r="L38" s="19">
        <f t="shared" ref="L38" si="5">C38*G38*10</f>
        <v>189.60000000000002</v>
      </c>
    </row>
    <row r="39" spans="1:12" s="25" customFormat="1" ht="22.5" x14ac:dyDescent="0.25">
      <c r="A39" s="15">
        <v>31</v>
      </c>
      <c r="B39" s="16" t="s">
        <v>535</v>
      </c>
      <c r="C39" s="17">
        <v>0.25679999999999997</v>
      </c>
      <c r="D39" s="18">
        <v>8</v>
      </c>
      <c r="E39" s="18">
        <v>5.5</v>
      </c>
      <c r="F39" s="18">
        <v>5.5</v>
      </c>
      <c r="G39" s="18">
        <v>120</v>
      </c>
      <c r="H39" s="100">
        <f>C39*D39*10</f>
        <v>20.543999999999997</v>
      </c>
      <c r="I39" s="101"/>
      <c r="J39" s="19">
        <f>C39*E39*10</f>
        <v>14.123999999999999</v>
      </c>
      <c r="K39" s="19">
        <f>C39*F39*10</f>
        <v>14.123999999999999</v>
      </c>
      <c r="L39" s="19">
        <f>C39*G39*10</f>
        <v>308.15999999999997</v>
      </c>
    </row>
    <row r="40" spans="1:12" s="25" customFormat="1" ht="22.5" x14ac:dyDescent="0.25">
      <c r="A40" s="15">
        <v>32</v>
      </c>
      <c r="B40" s="16" t="s">
        <v>536</v>
      </c>
      <c r="C40" s="17">
        <v>0.26529999999999998</v>
      </c>
      <c r="D40" s="70">
        <v>5</v>
      </c>
      <c r="E40" s="70">
        <v>1</v>
      </c>
      <c r="F40" s="70">
        <v>2.5</v>
      </c>
      <c r="G40" s="70">
        <v>60</v>
      </c>
      <c r="H40" s="100">
        <f>C40*D40*10</f>
        <v>13.264999999999997</v>
      </c>
      <c r="I40" s="101"/>
      <c r="J40" s="19">
        <f>C40*E40*10</f>
        <v>2.6529999999999996</v>
      </c>
      <c r="K40" s="19">
        <f>C40*F40*10</f>
        <v>6.6324999999999985</v>
      </c>
      <c r="L40" s="19">
        <f>C40*G40*10</f>
        <v>159.18</v>
      </c>
    </row>
    <row r="41" spans="1:12" s="25" customFormat="1" ht="33.75" x14ac:dyDescent="0.25">
      <c r="A41" s="15">
        <v>33</v>
      </c>
      <c r="B41" s="16" t="s">
        <v>555</v>
      </c>
      <c r="C41" s="17">
        <v>0.2792</v>
      </c>
      <c r="D41" s="70">
        <v>14</v>
      </c>
      <c r="E41" s="70">
        <v>7</v>
      </c>
      <c r="F41" s="70">
        <v>2.5</v>
      </c>
      <c r="G41" s="70">
        <v>170</v>
      </c>
      <c r="H41" s="100">
        <f>C41*D41*10</f>
        <v>39.088000000000001</v>
      </c>
      <c r="I41" s="101"/>
      <c r="J41" s="19">
        <f>C41*E41*10</f>
        <v>19.544</v>
      </c>
      <c r="K41" s="19">
        <f>C41*F41*10</f>
        <v>6.9799999999999995</v>
      </c>
      <c r="L41" s="19">
        <f>C41*G41*10</f>
        <v>474.64</v>
      </c>
    </row>
    <row r="42" spans="1:12" s="25" customFormat="1" ht="22.5" x14ac:dyDescent="0.25">
      <c r="A42" s="15">
        <v>34</v>
      </c>
      <c r="B42" s="16" t="s">
        <v>556</v>
      </c>
      <c r="C42" s="17">
        <v>0.23649999999999999</v>
      </c>
      <c r="D42" s="18">
        <v>10</v>
      </c>
      <c r="E42" s="18">
        <v>10</v>
      </c>
      <c r="F42" s="18">
        <v>6.5</v>
      </c>
      <c r="G42" s="18">
        <v>160</v>
      </c>
      <c r="H42" s="100">
        <f>C42*D42*10</f>
        <v>23.65</v>
      </c>
      <c r="I42" s="101"/>
      <c r="J42" s="19">
        <f>C42*E42*10</f>
        <v>23.65</v>
      </c>
      <c r="K42" s="19">
        <f>C42*F42*10</f>
        <v>15.3725</v>
      </c>
      <c r="L42" s="19">
        <f>C42*G42*10</f>
        <v>378.4</v>
      </c>
    </row>
    <row r="43" spans="1:12" ht="19.5" thickBot="1" x14ac:dyDescent="0.35">
      <c r="A43" s="97" t="s">
        <v>76</v>
      </c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8"/>
    </row>
    <row r="44" spans="1:12" s="25" customFormat="1" ht="22.5" x14ac:dyDescent="0.25">
      <c r="A44" s="22" t="s">
        <v>77</v>
      </c>
      <c r="B44" s="23" t="s">
        <v>78</v>
      </c>
      <c r="C44" s="24">
        <v>0.36649999999999999</v>
      </c>
      <c r="D44" s="24" t="s">
        <v>79</v>
      </c>
      <c r="E44" s="24" t="s">
        <v>80</v>
      </c>
      <c r="F44" s="24" t="s">
        <v>81</v>
      </c>
      <c r="G44" s="24" t="s">
        <v>82</v>
      </c>
      <c r="H44" s="99" t="s">
        <v>83</v>
      </c>
      <c r="I44" s="99"/>
      <c r="J44" s="24" t="s">
        <v>84</v>
      </c>
      <c r="K44" s="24" t="s">
        <v>85</v>
      </c>
      <c r="L44" s="24" t="s">
        <v>86</v>
      </c>
    </row>
    <row r="45" spans="1:12" s="25" customFormat="1" x14ac:dyDescent="0.25">
      <c r="A45" s="4">
        <v>2</v>
      </c>
      <c r="B45" s="5" t="s">
        <v>87</v>
      </c>
      <c r="C45" s="6">
        <v>0.4158</v>
      </c>
      <c r="D45" s="6">
        <v>10</v>
      </c>
      <c r="E45" s="6">
        <v>3</v>
      </c>
      <c r="F45" s="6">
        <v>8</v>
      </c>
      <c r="G45" s="6">
        <v>138</v>
      </c>
      <c r="H45" s="85">
        <f>C45*D45*10</f>
        <v>41.580000000000005</v>
      </c>
      <c r="I45" s="85"/>
      <c r="J45" s="8">
        <f>C45*E45*10</f>
        <v>12.474</v>
      </c>
      <c r="K45" s="8">
        <f>C45*F45*10</f>
        <v>33.264000000000003</v>
      </c>
      <c r="L45" s="8">
        <f>C45*G45*10</f>
        <v>573.80399999999997</v>
      </c>
    </row>
    <row r="46" spans="1:12" s="25" customFormat="1" ht="21.75" customHeight="1" x14ac:dyDescent="0.25">
      <c r="A46" s="4">
        <v>3</v>
      </c>
      <c r="B46" s="5" t="s">
        <v>88</v>
      </c>
      <c r="C46" s="6">
        <v>0.37130000000000002</v>
      </c>
      <c r="D46" s="6">
        <v>6</v>
      </c>
      <c r="E46" s="6">
        <v>7</v>
      </c>
      <c r="F46" s="6">
        <v>3</v>
      </c>
      <c r="G46" s="6">
        <v>96</v>
      </c>
      <c r="H46" s="86">
        <f>C46*D46*10</f>
        <v>22.278000000000002</v>
      </c>
      <c r="I46" s="86"/>
      <c r="J46" s="8">
        <f>C46*E46*10</f>
        <v>25.991</v>
      </c>
      <c r="K46" s="8">
        <f>C46*F46*10</f>
        <v>11.139000000000001</v>
      </c>
      <c r="L46" s="8">
        <f>C46*G46*10</f>
        <v>356.44800000000004</v>
      </c>
    </row>
    <row r="47" spans="1:12" s="25" customFormat="1" x14ac:dyDescent="0.25">
      <c r="A47" s="4">
        <v>4</v>
      </c>
      <c r="B47" s="5" t="s">
        <v>89</v>
      </c>
      <c r="C47" s="6" t="s">
        <v>90</v>
      </c>
      <c r="D47" s="6" t="s">
        <v>91</v>
      </c>
      <c r="E47" s="6" t="s">
        <v>92</v>
      </c>
      <c r="F47" s="6" t="s">
        <v>93</v>
      </c>
      <c r="G47" s="6" t="s">
        <v>94</v>
      </c>
      <c r="H47" s="85" t="s">
        <v>95</v>
      </c>
      <c r="I47" s="85"/>
      <c r="J47" s="6" t="s">
        <v>96</v>
      </c>
      <c r="K47" s="6" t="s">
        <v>97</v>
      </c>
      <c r="L47" s="6" t="s">
        <v>98</v>
      </c>
    </row>
    <row r="48" spans="1:12" s="25" customFormat="1" x14ac:dyDescent="0.25">
      <c r="A48" s="4">
        <v>5</v>
      </c>
      <c r="B48" s="5" t="s">
        <v>99</v>
      </c>
      <c r="C48" s="6">
        <v>0.4264</v>
      </c>
      <c r="D48" s="6">
        <v>4</v>
      </c>
      <c r="E48" s="6">
        <v>2</v>
      </c>
      <c r="F48" s="6">
        <v>10</v>
      </c>
      <c r="G48" s="6">
        <v>89</v>
      </c>
      <c r="H48" s="86">
        <f>C48*D48*10</f>
        <v>17.056000000000001</v>
      </c>
      <c r="I48" s="86"/>
      <c r="J48" s="8">
        <f>C48*E48*10</f>
        <v>8.5280000000000005</v>
      </c>
      <c r="K48" s="6">
        <f>C48*F48*10</f>
        <v>42.64</v>
      </c>
      <c r="L48" s="8">
        <f>C48*G48*10</f>
        <v>379.49599999999998</v>
      </c>
    </row>
    <row r="49" spans="1:12" s="25" customFormat="1" x14ac:dyDescent="0.25">
      <c r="A49" s="4">
        <v>6</v>
      </c>
      <c r="B49" s="5" t="s">
        <v>100</v>
      </c>
      <c r="C49" s="6">
        <v>0.38279999999999997</v>
      </c>
      <c r="D49" s="6" t="s">
        <v>101</v>
      </c>
      <c r="E49" s="6" t="s">
        <v>102</v>
      </c>
      <c r="F49" s="6" t="s">
        <v>103</v>
      </c>
      <c r="G49" s="6" t="s">
        <v>104</v>
      </c>
      <c r="H49" s="85" t="s">
        <v>105</v>
      </c>
      <c r="I49" s="85"/>
      <c r="J49" s="6" t="s">
        <v>106</v>
      </c>
      <c r="K49" s="6" t="s">
        <v>107</v>
      </c>
      <c r="L49" s="6">
        <v>282.62</v>
      </c>
    </row>
    <row r="50" spans="1:12" s="25" customFormat="1" x14ac:dyDescent="0.25">
      <c r="A50" s="4">
        <v>7</v>
      </c>
      <c r="B50" s="5" t="s">
        <v>108</v>
      </c>
      <c r="C50" s="6">
        <v>0.39739999999999998</v>
      </c>
      <c r="D50" s="6">
        <v>5</v>
      </c>
      <c r="E50" s="6">
        <v>8</v>
      </c>
      <c r="F50" s="6">
        <v>12</v>
      </c>
      <c r="G50" s="6" t="s">
        <v>109</v>
      </c>
      <c r="H50" s="85">
        <f>C50*D50*10</f>
        <v>19.869999999999997</v>
      </c>
      <c r="I50" s="85"/>
      <c r="J50" s="8">
        <f>C50*E50*10</f>
        <v>31.791999999999998</v>
      </c>
      <c r="K50" s="8">
        <f>C50*F50*10</f>
        <v>47.687999999999995</v>
      </c>
      <c r="L50" s="8">
        <f>C50*G50*10</f>
        <v>506.36707999999999</v>
      </c>
    </row>
    <row r="51" spans="1:12" s="25" customFormat="1" ht="22.5" x14ac:dyDescent="0.25">
      <c r="A51" s="4">
        <v>8</v>
      </c>
      <c r="B51" s="5" t="s">
        <v>110</v>
      </c>
      <c r="C51" s="6">
        <v>0.36959999999999998</v>
      </c>
      <c r="D51" s="6">
        <v>8.5</v>
      </c>
      <c r="E51" s="6">
        <v>5</v>
      </c>
      <c r="F51" s="6">
        <v>8</v>
      </c>
      <c r="G51" s="6">
        <v>130</v>
      </c>
      <c r="H51" s="86">
        <f>D51*C51*10</f>
        <v>31.416</v>
      </c>
      <c r="I51" s="86"/>
      <c r="J51" s="6">
        <f>C51*E51*10</f>
        <v>18.479999999999997</v>
      </c>
      <c r="K51" s="8">
        <f>F51*C51*10</f>
        <v>29.567999999999998</v>
      </c>
      <c r="L51" s="6">
        <f>G51*C51*10</f>
        <v>480.47999999999996</v>
      </c>
    </row>
    <row r="52" spans="1:12" s="25" customFormat="1" ht="22.5" x14ac:dyDescent="0.25">
      <c r="A52" s="4">
        <v>9</v>
      </c>
      <c r="B52" s="5" t="s">
        <v>111</v>
      </c>
      <c r="C52" s="6">
        <v>0.45150000000000001</v>
      </c>
      <c r="D52" s="6">
        <v>7</v>
      </c>
      <c r="E52" s="6">
        <v>1</v>
      </c>
      <c r="F52" s="6">
        <v>7</v>
      </c>
      <c r="G52" s="6">
        <v>97</v>
      </c>
      <c r="H52" s="86">
        <f>D52*C52*10</f>
        <v>31.604999999999997</v>
      </c>
      <c r="I52" s="86"/>
      <c r="J52" s="8">
        <f>E52*C52*10</f>
        <v>4.5150000000000006</v>
      </c>
      <c r="K52" s="8">
        <f>F52*C52*10</f>
        <v>31.604999999999997</v>
      </c>
      <c r="L52" s="8">
        <f>G52*C52*10</f>
        <v>437.95500000000004</v>
      </c>
    </row>
    <row r="53" spans="1:12" s="25" customFormat="1" ht="22.5" x14ac:dyDescent="0.25">
      <c r="A53" s="4">
        <v>10</v>
      </c>
      <c r="B53" s="5" t="s">
        <v>112</v>
      </c>
      <c r="C53" s="6">
        <v>0.39660000000000001</v>
      </c>
      <c r="D53" s="6">
        <v>0</v>
      </c>
      <c r="E53" s="6">
        <v>1</v>
      </c>
      <c r="F53" s="6">
        <v>4</v>
      </c>
      <c r="G53" s="6">
        <v>20</v>
      </c>
      <c r="H53" s="86">
        <f>C53*D53*10</f>
        <v>0</v>
      </c>
      <c r="I53" s="86"/>
      <c r="J53" s="8">
        <f>C53*1*10</f>
        <v>3.9660000000000002</v>
      </c>
      <c r="K53" s="8">
        <f>C53*F53*10</f>
        <v>15.864000000000001</v>
      </c>
      <c r="L53" s="8">
        <f>C53*G53*10</f>
        <v>79.320000000000007</v>
      </c>
    </row>
    <row r="54" spans="1:12" s="25" customFormat="1" ht="22.5" x14ac:dyDescent="0.25">
      <c r="A54" s="4">
        <v>11</v>
      </c>
      <c r="B54" s="5" t="s">
        <v>113</v>
      </c>
      <c r="C54" s="6">
        <v>0.48039999999999999</v>
      </c>
      <c r="D54" s="6">
        <v>0</v>
      </c>
      <c r="E54" s="6">
        <v>1</v>
      </c>
      <c r="F54" s="6">
        <v>4</v>
      </c>
      <c r="G54" s="6">
        <v>20</v>
      </c>
      <c r="H54" s="86">
        <f>C54*D54*10</f>
        <v>0</v>
      </c>
      <c r="I54" s="86"/>
      <c r="J54" s="8">
        <f>C54*1*10</f>
        <v>4.8040000000000003</v>
      </c>
      <c r="K54" s="8">
        <f>C54*F54*10</f>
        <v>19.216000000000001</v>
      </c>
      <c r="L54" s="8">
        <f>C54*G54*10</f>
        <v>96.080000000000013</v>
      </c>
    </row>
    <row r="55" spans="1:12" s="25" customFormat="1" x14ac:dyDescent="0.25">
      <c r="A55" s="4">
        <v>12</v>
      </c>
      <c r="B55" s="5" t="s">
        <v>537</v>
      </c>
      <c r="C55" s="6">
        <v>0.44790000000000002</v>
      </c>
      <c r="D55" s="6">
        <v>2.5</v>
      </c>
      <c r="E55" s="6">
        <v>6</v>
      </c>
      <c r="F55" s="6">
        <v>4.5</v>
      </c>
      <c r="G55" s="6">
        <v>65</v>
      </c>
      <c r="H55" s="86">
        <f>C55*D55*10</f>
        <v>11.1975</v>
      </c>
      <c r="I55" s="86"/>
      <c r="J55" s="8">
        <f>C55*1*10</f>
        <v>4.4790000000000001</v>
      </c>
      <c r="K55" s="8">
        <f>C55*F55*10</f>
        <v>20.155500000000004</v>
      </c>
      <c r="L55" s="8">
        <f>C55*G55*10</f>
        <v>291.13499999999999</v>
      </c>
    </row>
    <row r="56" spans="1:12" ht="18.75" x14ac:dyDescent="0.3">
      <c r="A56" s="102" t="s">
        <v>114</v>
      </c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3"/>
    </row>
    <row r="57" spans="1:12" s="25" customFormat="1" ht="22.5" x14ac:dyDescent="0.25">
      <c r="A57" s="4">
        <v>1</v>
      </c>
      <c r="B57" s="5" t="s">
        <v>115</v>
      </c>
      <c r="C57" s="9" t="s">
        <v>116</v>
      </c>
      <c r="D57" s="9" t="s">
        <v>117</v>
      </c>
      <c r="E57" s="9" t="s">
        <v>118</v>
      </c>
      <c r="F57" s="9" t="s">
        <v>119</v>
      </c>
      <c r="G57" s="9" t="s">
        <v>120</v>
      </c>
      <c r="H57" s="94" t="s">
        <v>121</v>
      </c>
      <c r="I57" s="95"/>
      <c r="J57" s="9" t="s">
        <v>122</v>
      </c>
      <c r="K57" s="9" t="s">
        <v>123</v>
      </c>
      <c r="L57" s="9" t="s">
        <v>124</v>
      </c>
    </row>
    <row r="58" spans="1:12" s="25" customFormat="1" x14ac:dyDescent="0.25">
      <c r="A58" s="4">
        <v>2</v>
      </c>
      <c r="B58" s="5" t="s">
        <v>125</v>
      </c>
      <c r="C58" s="9">
        <v>0.47860000000000003</v>
      </c>
      <c r="D58" s="9">
        <v>8</v>
      </c>
      <c r="E58" s="9">
        <v>8</v>
      </c>
      <c r="F58" s="9">
        <v>18</v>
      </c>
      <c r="G58" s="9">
        <v>178</v>
      </c>
      <c r="H58" s="104">
        <f>C58*D58*10</f>
        <v>38.288000000000004</v>
      </c>
      <c r="I58" s="105"/>
      <c r="J58" s="26">
        <f>C58*E58*10</f>
        <v>38.288000000000004</v>
      </c>
      <c r="K58" s="26">
        <f>C58*F58*10</f>
        <v>86.14800000000001</v>
      </c>
      <c r="L58" s="26">
        <f>C58*G58*10</f>
        <v>851.90800000000013</v>
      </c>
    </row>
    <row r="59" spans="1:12" s="25" customFormat="1" x14ac:dyDescent="0.25">
      <c r="A59" s="4">
        <v>3</v>
      </c>
      <c r="B59" s="5" t="s">
        <v>126</v>
      </c>
      <c r="C59" s="27">
        <v>0.4047</v>
      </c>
      <c r="D59" s="27">
        <v>6</v>
      </c>
      <c r="E59" s="27">
        <v>6</v>
      </c>
      <c r="F59" s="27">
        <v>17</v>
      </c>
      <c r="G59" s="27">
        <v>150</v>
      </c>
      <c r="H59" s="106">
        <f>C59*D59*10</f>
        <v>24.282</v>
      </c>
      <c r="I59" s="106"/>
      <c r="J59" s="28">
        <f>C59*E59*10</f>
        <v>24.282</v>
      </c>
      <c r="K59" s="28">
        <f>C59*F59*10</f>
        <v>68.799000000000007</v>
      </c>
      <c r="L59" s="27">
        <f>C59*G59*10</f>
        <v>607.04999999999995</v>
      </c>
    </row>
    <row r="60" spans="1:12" s="25" customFormat="1" x14ac:dyDescent="0.25">
      <c r="A60" s="4">
        <v>4</v>
      </c>
      <c r="B60" s="5" t="s">
        <v>127</v>
      </c>
      <c r="C60" s="27">
        <v>0.43840000000000001</v>
      </c>
      <c r="D60" s="27" t="s">
        <v>128</v>
      </c>
      <c r="E60" s="27" t="s">
        <v>129</v>
      </c>
      <c r="F60" s="27" t="s">
        <v>130</v>
      </c>
      <c r="G60" s="27" t="s">
        <v>131</v>
      </c>
      <c r="H60" s="107" t="s">
        <v>132</v>
      </c>
      <c r="I60" s="107"/>
      <c r="J60" s="27" t="s">
        <v>133</v>
      </c>
      <c r="K60" s="27" t="s">
        <v>134</v>
      </c>
      <c r="L60" s="27" t="s">
        <v>135</v>
      </c>
    </row>
    <row r="61" spans="1:12" s="25" customFormat="1" x14ac:dyDescent="0.25">
      <c r="A61" s="4">
        <v>5</v>
      </c>
      <c r="B61" s="5" t="s">
        <v>136</v>
      </c>
      <c r="C61" s="27">
        <v>0.37019999999999997</v>
      </c>
      <c r="D61" s="27" t="s">
        <v>137</v>
      </c>
      <c r="E61" s="27" t="s">
        <v>138</v>
      </c>
      <c r="F61" s="27" t="s">
        <v>139</v>
      </c>
      <c r="G61" s="27" t="s">
        <v>140</v>
      </c>
      <c r="H61" s="107" t="s">
        <v>141</v>
      </c>
      <c r="I61" s="107"/>
      <c r="J61" s="27" t="s">
        <v>142</v>
      </c>
      <c r="K61" s="27" t="s">
        <v>143</v>
      </c>
      <c r="L61" s="27" t="s">
        <v>144</v>
      </c>
    </row>
    <row r="62" spans="1:12" s="25" customFormat="1" x14ac:dyDescent="0.25">
      <c r="A62" s="4">
        <v>6</v>
      </c>
      <c r="B62" s="5" t="s">
        <v>145</v>
      </c>
      <c r="C62" s="27" t="s">
        <v>146</v>
      </c>
      <c r="D62" s="27" t="s">
        <v>147</v>
      </c>
      <c r="E62" s="27" t="s">
        <v>148</v>
      </c>
      <c r="F62" s="27" t="s">
        <v>149</v>
      </c>
      <c r="G62" s="27" t="s">
        <v>150</v>
      </c>
      <c r="H62" s="107" t="s">
        <v>151</v>
      </c>
      <c r="I62" s="107"/>
      <c r="J62" s="27" t="s">
        <v>152</v>
      </c>
      <c r="K62" s="27" t="s">
        <v>153</v>
      </c>
      <c r="L62" s="27" t="s">
        <v>154</v>
      </c>
    </row>
    <row r="63" spans="1:12" s="25" customFormat="1" x14ac:dyDescent="0.25">
      <c r="A63" s="4">
        <v>7</v>
      </c>
      <c r="B63" s="5" t="s">
        <v>155</v>
      </c>
      <c r="C63" s="27">
        <v>0.36909999999999998</v>
      </c>
      <c r="D63" s="27" t="s">
        <v>156</v>
      </c>
      <c r="E63" s="27" t="s">
        <v>157</v>
      </c>
      <c r="F63" s="27" t="s">
        <v>158</v>
      </c>
      <c r="G63" s="27" t="s">
        <v>159</v>
      </c>
      <c r="H63" s="107" t="s">
        <v>160</v>
      </c>
      <c r="I63" s="107"/>
      <c r="J63" s="27" t="s">
        <v>161</v>
      </c>
      <c r="K63" s="27" t="s">
        <v>162</v>
      </c>
      <c r="L63" s="27" t="s">
        <v>163</v>
      </c>
    </row>
    <row r="64" spans="1:12" s="25" customFormat="1" x14ac:dyDescent="0.25">
      <c r="A64" s="4">
        <v>8</v>
      </c>
      <c r="B64" s="5" t="s">
        <v>164</v>
      </c>
      <c r="C64" s="27" t="s">
        <v>165</v>
      </c>
      <c r="D64" s="27" t="s">
        <v>166</v>
      </c>
      <c r="E64" s="27" t="s">
        <v>167</v>
      </c>
      <c r="F64" s="27" t="s">
        <v>168</v>
      </c>
      <c r="G64" s="27" t="s">
        <v>169</v>
      </c>
      <c r="H64" s="107" t="s">
        <v>170</v>
      </c>
      <c r="I64" s="107"/>
      <c r="J64" s="27" t="s">
        <v>171</v>
      </c>
      <c r="K64" s="27" t="s">
        <v>172</v>
      </c>
      <c r="L64" s="27" t="s">
        <v>173</v>
      </c>
    </row>
    <row r="65" spans="1:12" s="25" customFormat="1" x14ac:dyDescent="0.25">
      <c r="A65" s="4">
        <v>9</v>
      </c>
      <c r="B65" s="5" t="s">
        <v>174</v>
      </c>
      <c r="C65" s="27">
        <v>0.33910000000000001</v>
      </c>
      <c r="D65" s="27" t="s">
        <v>175</v>
      </c>
      <c r="E65" s="27" t="s">
        <v>176</v>
      </c>
      <c r="F65" s="27" t="s">
        <v>177</v>
      </c>
      <c r="G65" s="27" t="s">
        <v>178</v>
      </c>
      <c r="H65" s="107" t="s">
        <v>179</v>
      </c>
      <c r="I65" s="107"/>
      <c r="J65" s="27" t="s">
        <v>180</v>
      </c>
      <c r="K65" s="27" t="s">
        <v>181</v>
      </c>
      <c r="L65" s="27" t="s">
        <v>182</v>
      </c>
    </row>
    <row r="66" spans="1:12" s="25" customFormat="1" ht="22.5" x14ac:dyDescent="0.25">
      <c r="A66" s="4">
        <v>10</v>
      </c>
      <c r="B66" s="5" t="s">
        <v>183</v>
      </c>
      <c r="C66" s="27">
        <v>3.5999999999999997E-2</v>
      </c>
      <c r="D66" s="27">
        <v>1</v>
      </c>
      <c r="E66" s="27">
        <v>22</v>
      </c>
      <c r="F66" s="27">
        <v>0</v>
      </c>
      <c r="G66" s="27">
        <v>97</v>
      </c>
      <c r="H66" s="107">
        <f>C66*D66*10</f>
        <v>0.36</v>
      </c>
      <c r="I66" s="107"/>
      <c r="J66" s="27">
        <f>C66*E66*10</f>
        <v>7.919999999999999</v>
      </c>
      <c r="K66" s="27">
        <f>C66*F66</f>
        <v>0</v>
      </c>
      <c r="L66" s="27">
        <f>C66*G66*10</f>
        <v>34.919999999999995</v>
      </c>
    </row>
    <row r="67" spans="1:12" s="25" customFormat="1" ht="22.5" x14ac:dyDescent="0.25">
      <c r="A67" s="4">
        <v>11</v>
      </c>
      <c r="B67" s="16" t="s">
        <v>184</v>
      </c>
      <c r="C67" s="29">
        <v>0.51859999999999995</v>
      </c>
      <c r="D67" s="30">
        <v>17</v>
      </c>
      <c r="E67" s="31">
        <v>8</v>
      </c>
      <c r="F67" s="31">
        <v>21</v>
      </c>
      <c r="G67" s="31">
        <v>273</v>
      </c>
      <c r="H67" s="74">
        <f>D67*C67*10</f>
        <v>88.161999999999978</v>
      </c>
      <c r="I67" s="75"/>
      <c r="J67" s="30">
        <f>E67*C67*10</f>
        <v>41.488</v>
      </c>
      <c r="K67" s="30">
        <f>F67*C67*10</f>
        <v>108.90599999999999</v>
      </c>
      <c r="L67" s="30">
        <f>G67*C67*10</f>
        <v>1415.778</v>
      </c>
    </row>
    <row r="68" spans="1:12" s="25" customFormat="1" x14ac:dyDescent="0.25">
      <c r="A68" s="4">
        <v>12</v>
      </c>
      <c r="B68" s="5" t="s">
        <v>185</v>
      </c>
      <c r="C68" s="27">
        <v>0.36449999999999999</v>
      </c>
      <c r="D68" s="27" t="s">
        <v>186</v>
      </c>
      <c r="E68" s="27" t="s">
        <v>187</v>
      </c>
      <c r="F68" s="27" t="s">
        <v>188</v>
      </c>
      <c r="G68" s="27" t="s">
        <v>189</v>
      </c>
      <c r="H68" s="107" t="s">
        <v>190</v>
      </c>
      <c r="I68" s="107"/>
      <c r="J68" s="27" t="s">
        <v>191</v>
      </c>
      <c r="K68" s="27" t="s">
        <v>192</v>
      </c>
      <c r="L68" s="27" t="s">
        <v>193</v>
      </c>
    </row>
    <row r="69" spans="1:12" s="25" customFormat="1" x14ac:dyDescent="0.25">
      <c r="A69" s="4">
        <v>13</v>
      </c>
      <c r="B69" s="5" t="s">
        <v>194</v>
      </c>
      <c r="C69" s="9">
        <v>0.30420000000000003</v>
      </c>
      <c r="D69" s="9">
        <v>14</v>
      </c>
      <c r="E69" s="9">
        <v>6</v>
      </c>
      <c r="F69" s="9">
        <v>29</v>
      </c>
      <c r="G69" s="9">
        <v>268</v>
      </c>
      <c r="H69" s="104">
        <f>C69*D69*10</f>
        <v>42.588000000000008</v>
      </c>
      <c r="I69" s="105"/>
      <c r="J69" s="26">
        <f>C69*E69*10</f>
        <v>18.252000000000002</v>
      </c>
      <c r="K69" s="26">
        <f>C69*F69*10</f>
        <v>88.218000000000018</v>
      </c>
      <c r="L69" s="26">
        <f>C69*G69*10</f>
        <v>815.25600000000009</v>
      </c>
    </row>
    <row r="70" spans="1:12" s="25" customFormat="1" x14ac:dyDescent="0.25">
      <c r="A70" s="4">
        <v>14</v>
      </c>
      <c r="B70" s="5" t="s">
        <v>195</v>
      </c>
      <c r="C70" s="27">
        <v>0.30120000000000002</v>
      </c>
      <c r="D70" s="27">
        <v>15</v>
      </c>
      <c r="E70" s="27">
        <v>6</v>
      </c>
      <c r="F70" s="27">
        <v>19</v>
      </c>
      <c r="G70" s="27">
        <v>235</v>
      </c>
      <c r="H70" s="106">
        <f>C70*D70*10</f>
        <v>45.180000000000007</v>
      </c>
      <c r="I70" s="106"/>
      <c r="J70" s="28">
        <f>C70*E70*10</f>
        <v>18.072000000000003</v>
      </c>
      <c r="K70" s="28">
        <f>C70*F70*10</f>
        <v>57.228000000000002</v>
      </c>
      <c r="L70" s="28">
        <f>C70*G70*10</f>
        <v>707.82000000000016</v>
      </c>
    </row>
    <row r="71" spans="1:12" s="25" customFormat="1" ht="22.5" x14ac:dyDescent="0.25">
      <c r="A71" s="4">
        <v>15</v>
      </c>
      <c r="B71" s="5" t="s">
        <v>196</v>
      </c>
      <c r="C71" s="27">
        <v>0.3513</v>
      </c>
      <c r="D71" s="27">
        <v>10</v>
      </c>
      <c r="E71" s="27" t="s">
        <v>197</v>
      </c>
      <c r="F71" s="27" t="s">
        <v>198</v>
      </c>
      <c r="G71" s="27">
        <v>255</v>
      </c>
      <c r="H71" s="107">
        <f>C71*D71*10</f>
        <v>35.129999999999995</v>
      </c>
      <c r="I71" s="107"/>
      <c r="J71" s="28">
        <f>C71*E71*10</f>
        <v>40.856190000000005</v>
      </c>
      <c r="K71" s="28">
        <f>C71*F71*10</f>
        <v>108.83274</v>
      </c>
      <c r="L71" s="28">
        <f>C71*G71*10</f>
        <v>895.81500000000005</v>
      </c>
    </row>
    <row r="72" spans="1:12" s="25" customFormat="1" ht="22.5" customHeight="1" x14ac:dyDescent="0.25">
      <c r="A72" s="4">
        <v>16</v>
      </c>
      <c r="B72" s="16" t="s">
        <v>199</v>
      </c>
      <c r="C72" s="29">
        <v>0.27750000000000002</v>
      </c>
      <c r="D72" s="31">
        <v>9</v>
      </c>
      <c r="E72" s="31">
        <v>11</v>
      </c>
      <c r="F72" s="31">
        <v>34</v>
      </c>
      <c r="G72" s="31">
        <v>263</v>
      </c>
      <c r="H72" s="74">
        <f>D72*C72*10</f>
        <v>24.975000000000001</v>
      </c>
      <c r="I72" s="75"/>
      <c r="J72" s="31">
        <f>E72*C72*10</f>
        <v>30.525000000000002</v>
      </c>
      <c r="K72" s="31">
        <f>F72*C72*10</f>
        <v>94.350000000000009</v>
      </c>
      <c r="L72" s="30">
        <f>G72*C72*10</f>
        <v>729.82500000000005</v>
      </c>
    </row>
    <row r="73" spans="1:12" s="33" customFormat="1" x14ac:dyDescent="0.25">
      <c r="A73" s="4">
        <v>17</v>
      </c>
      <c r="B73" s="16" t="s">
        <v>200</v>
      </c>
      <c r="C73" s="29">
        <v>0.34350000000000003</v>
      </c>
      <c r="D73" s="31">
        <v>5</v>
      </c>
      <c r="E73" s="31">
        <v>9</v>
      </c>
      <c r="F73" s="31">
        <v>33</v>
      </c>
      <c r="G73" s="31">
        <v>208</v>
      </c>
      <c r="H73" s="108">
        <f t="shared" ref="H73:H81" si="6">C73*D73*10</f>
        <v>17.175000000000004</v>
      </c>
      <c r="I73" s="109"/>
      <c r="J73" s="32">
        <f t="shared" ref="J73:J81" si="7">C73*E73*10</f>
        <v>30.915000000000003</v>
      </c>
      <c r="K73" s="32">
        <f t="shared" ref="K73:K81" si="8">C73*F73*10</f>
        <v>113.35500000000002</v>
      </c>
      <c r="L73" s="32">
        <f t="shared" ref="L73:L81" si="9">C73*G73*10</f>
        <v>714.48</v>
      </c>
    </row>
    <row r="74" spans="1:12" s="33" customFormat="1" ht="22.5" x14ac:dyDescent="0.25">
      <c r="A74" s="4">
        <v>18</v>
      </c>
      <c r="B74" s="16" t="s">
        <v>201</v>
      </c>
      <c r="C74" s="29">
        <v>0.34960000000000002</v>
      </c>
      <c r="D74" s="31">
        <v>33</v>
      </c>
      <c r="E74" s="31">
        <v>10</v>
      </c>
      <c r="F74" s="31">
        <v>23</v>
      </c>
      <c r="G74" s="31">
        <v>428</v>
      </c>
      <c r="H74" s="108">
        <f t="shared" si="6"/>
        <v>115.36800000000001</v>
      </c>
      <c r="I74" s="109"/>
      <c r="J74" s="32">
        <f t="shared" si="7"/>
        <v>34.960000000000008</v>
      </c>
      <c r="K74" s="32">
        <f t="shared" si="8"/>
        <v>80.408000000000015</v>
      </c>
      <c r="L74" s="32">
        <f t="shared" si="9"/>
        <v>1496.288</v>
      </c>
    </row>
    <row r="75" spans="1:12" s="33" customFormat="1" ht="22.5" x14ac:dyDescent="0.25">
      <c r="A75" s="4">
        <v>19</v>
      </c>
      <c r="B75" s="16" t="s">
        <v>202</v>
      </c>
      <c r="C75" s="29">
        <v>0.34799999999999998</v>
      </c>
      <c r="D75" s="31">
        <v>9</v>
      </c>
      <c r="E75" s="31">
        <v>4</v>
      </c>
      <c r="F75" s="31">
        <v>16</v>
      </c>
      <c r="G75" s="31">
        <v>163</v>
      </c>
      <c r="H75" s="108">
        <f t="shared" si="6"/>
        <v>31.319999999999997</v>
      </c>
      <c r="I75" s="109"/>
      <c r="J75" s="32">
        <f t="shared" si="7"/>
        <v>13.919999999999998</v>
      </c>
      <c r="K75" s="32">
        <f t="shared" si="8"/>
        <v>55.679999999999993</v>
      </c>
      <c r="L75" s="32">
        <f t="shared" si="9"/>
        <v>567.24</v>
      </c>
    </row>
    <row r="76" spans="1:12" s="33" customFormat="1" x14ac:dyDescent="0.25">
      <c r="A76" s="4">
        <v>20</v>
      </c>
      <c r="B76" s="16" t="s">
        <v>538</v>
      </c>
      <c r="C76" s="29">
        <v>0.33200000000000002</v>
      </c>
      <c r="D76" s="31">
        <v>19</v>
      </c>
      <c r="E76" s="31">
        <v>7.5</v>
      </c>
      <c r="F76" s="31">
        <v>27</v>
      </c>
      <c r="G76" s="31">
        <v>310</v>
      </c>
      <c r="H76" s="108">
        <f t="shared" si="6"/>
        <v>63.080000000000005</v>
      </c>
      <c r="I76" s="109"/>
      <c r="J76" s="32">
        <f t="shared" si="7"/>
        <v>24.900000000000002</v>
      </c>
      <c r="K76" s="32">
        <f t="shared" si="8"/>
        <v>89.64</v>
      </c>
      <c r="L76" s="32">
        <f t="shared" si="9"/>
        <v>1029.2</v>
      </c>
    </row>
    <row r="77" spans="1:12" s="33" customFormat="1" ht="22.5" x14ac:dyDescent="0.25">
      <c r="A77" s="4">
        <v>21</v>
      </c>
      <c r="B77" s="16" t="s">
        <v>539</v>
      </c>
      <c r="C77" s="29">
        <v>0.30099999999999999</v>
      </c>
      <c r="D77" s="71">
        <v>6</v>
      </c>
      <c r="E77" s="71">
        <v>0.5</v>
      </c>
      <c r="F77" s="71">
        <v>0.3</v>
      </c>
      <c r="G77" s="71">
        <v>60</v>
      </c>
      <c r="H77" s="108">
        <f t="shared" si="6"/>
        <v>18.060000000000002</v>
      </c>
      <c r="I77" s="109"/>
      <c r="J77" s="32">
        <f t="shared" si="7"/>
        <v>1.5049999999999999</v>
      </c>
      <c r="K77" s="32">
        <f t="shared" si="8"/>
        <v>0.90299999999999991</v>
      </c>
      <c r="L77" s="32">
        <f t="shared" si="9"/>
        <v>180.6</v>
      </c>
    </row>
    <row r="78" spans="1:12" s="33" customFormat="1" ht="22.5" x14ac:dyDescent="0.25">
      <c r="A78" s="4">
        <v>22</v>
      </c>
      <c r="B78" s="16" t="s">
        <v>557</v>
      </c>
      <c r="C78" s="29">
        <v>0.38669999999999999</v>
      </c>
      <c r="D78" s="71">
        <v>9</v>
      </c>
      <c r="E78" s="71">
        <v>6.5</v>
      </c>
      <c r="F78" s="71">
        <v>20</v>
      </c>
      <c r="G78" s="71">
        <v>190</v>
      </c>
      <c r="H78" s="108">
        <f t="shared" si="6"/>
        <v>34.802999999999997</v>
      </c>
      <c r="I78" s="109"/>
      <c r="J78" s="32">
        <f t="shared" si="7"/>
        <v>25.1355</v>
      </c>
      <c r="K78" s="32">
        <f t="shared" si="8"/>
        <v>77.34</v>
      </c>
      <c r="L78" s="32">
        <f t="shared" si="9"/>
        <v>734.73</v>
      </c>
    </row>
    <row r="79" spans="1:12" s="33" customFormat="1" x14ac:dyDescent="0.25">
      <c r="A79" s="4">
        <v>23</v>
      </c>
      <c r="B79" s="16" t="s">
        <v>558</v>
      </c>
      <c r="C79" s="29">
        <v>0.31509999999999999</v>
      </c>
      <c r="D79" s="71">
        <v>15</v>
      </c>
      <c r="E79" s="71">
        <v>8</v>
      </c>
      <c r="F79" s="71">
        <v>25</v>
      </c>
      <c r="G79" s="71">
        <v>260</v>
      </c>
      <c r="H79" s="108">
        <f t="shared" si="6"/>
        <v>47.265000000000001</v>
      </c>
      <c r="I79" s="109"/>
      <c r="J79" s="32">
        <f t="shared" si="7"/>
        <v>25.207999999999998</v>
      </c>
      <c r="K79" s="32">
        <f t="shared" si="8"/>
        <v>78.774999999999991</v>
      </c>
      <c r="L79" s="32">
        <f t="shared" si="9"/>
        <v>819.26</v>
      </c>
    </row>
    <row r="80" spans="1:12" s="33" customFormat="1" x14ac:dyDescent="0.25">
      <c r="A80" s="4">
        <v>24</v>
      </c>
      <c r="B80" s="16" t="s">
        <v>559</v>
      </c>
      <c r="C80" s="29">
        <v>0.39989999999999998</v>
      </c>
      <c r="D80" s="71">
        <v>15</v>
      </c>
      <c r="E80" s="71">
        <v>10</v>
      </c>
      <c r="F80" s="71">
        <v>32</v>
      </c>
      <c r="G80" s="71">
        <v>300</v>
      </c>
      <c r="H80" s="108">
        <f t="shared" si="6"/>
        <v>59.984999999999999</v>
      </c>
      <c r="I80" s="109"/>
      <c r="J80" s="32">
        <f t="shared" si="7"/>
        <v>39.989999999999995</v>
      </c>
      <c r="K80" s="32">
        <f t="shared" si="8"/>
        <v>127.96799999999999</v>
      </c>
      <c r="L80" s="32">
        <f t="shared" si="9"/>
        <v>1199.7</v>
      </c>
    </row>
    <row r="81" spans="1:12" s="33" customFormat="1" x14ac:dyDescent="0.25">
      <c r="A81" s="4">
        <v>25</v>
      </c>
      <c r="B81" s="16" t="s">
        <v>560</v>
      </c>
      <c r="C81" s="29">
        <v>0.25659999999999999</v>
      </c>
      <c r="D81" s="31">
        <v>20</v>
      </c>
      <c r="E81" s="31">
        <v>12</v>
      </c>
      <c r="F81" s="31">
        <v>33</v>
      </c>
      <c r="G81" s="31">
        <v>360</v>
      </c>
      <c r="H81" s="108">
        <f t="shared" si="6"/>
        <v>51.319999999999993</v>
      </c>
      <c r="I81" s="109"/>
      <c r="J81" s="32">
        <f t="shared" si="7"/>
        <v>30.792000000000002</v>
      </c>
      <c r="K81" s="32">
        <f t="shared" si="8"/>
        <v>84.677999999999997</v>
      </c>
      <c r="L81" s="32">
        <f t="shared" si="9"/>
        <v>923.76</v>
      </c>
    </row>
    <row r="82" spans="1:12" ht="19.5" thickBot="1" x14ac:dyDescent="0.35">
      <c r="A82" s="118" t="s">
        <v>203</v>
      </c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20"/>
    </row>
    <row r="83" spans="1:12" s="25" customFormat="1" ht="22.5" x14ac:dyDescent="0.25">
      <c r="A83" s="34">
        <v>1</v>
      </c>
      <c r="B83" s="35" t="s">
        <v>204</v>
      </c>
      <c r="C83" s="6">
        <v>0.44330000000000003</v>
      </c>
      <c r="D83" s="6">
        <v>17</v>
      </c>
      <c r="E83" s="6">
        <v>8</v>
      </c>
      <c r="F83" s="6">
        <v>9</v>
      </c>
      <c r="G83" s="6">
        <v>228</v>
      </c>
      <c r="H83" s="114">
        <f>C83*D83*10</f>
        <v>75.361000000000004</v>
      </c>
      <c r="I83" s="115"/>
      <c r="J83" s="8">
        <f>C83*E83*10</f>
        <v>35.463999999999999</v>
      </c>
      <c r="K83" s="8">
        <f>C83*F83*10</f>
        <v>39.896999999999998</v>
      </c>
      <c r="L83" s="8">
        <f>C83*G83*10</f>
        <v>1010.724</v>
      </c>
    </row>
    <row r="84" spans="1:12" s="25" customFormat="1" ht="22.5" x14ac:dyDescent="0.25">
      <c r="A84" s="34">
        <v>2</v>
      </c>
      <c r="B84" s="36" t="s">
        <v>205</v>
      </c>
      <c r="C84" s="37">
        <v>0.64910000000000001</v>
      </c>
      <c r="D84" s="37">
        <v>3.06</v>
      </c>
      <c r="E84" s="37">
        <v>0.86</v>
      </c>
      <c r="F84" s="37">
        <v>1.23</v>
      </c>
      <c r="G84" s="37">
        <v>40.17</v>
      </c>
      <c r="H84" s="121">
        <v>18.97</v>
      </c>
      <c r="I84" s="122"/>
      <c r="J84" s="37">
        <v>5.31</v>
      </c>
      <c r="K84" s="37">
        <v>7.65</v>
      </c>
      <c r="L84" s="37">
        <v>249.32</v>
      </c>
    </row>
    <row r="85" spans="1:12" s="25" customFormat="1" ht="22.5" x14ac:dyDescent="0.25">
      <c r="A85" s="34">
        <v>3</v>
      </c>
      <c r="B85" s="35" t="s">
        <v>206</v>
      </c>
      <c r="C85" s="27">
        <v>0.41539999999999999</v>
      </c>
      <c r="D85" s="27">
        <v>6</v>
      </c>
      <c r="E85" s="27">
        <v>5</v>
      </c>
      <c r="F85" s="27">
        <v>2</v>
      </c>
      <c r="G85" s="27">
        <v>86</v>
      </c>
      <c r="H85" s="116">
        <f>C85*D85*10</f>
        <v>24.923999999999999</v>
      </c>
      <c r="I85" s="117"/>
      <c r="J85" s="27">
        <f>C85*E85*10</f>
        <v>20.77</v>
      </c>
      <c r="K85" s="28">
        <f>C85*F85*10</f>
        <v>8.3079999999999998</v>
      </c>
      <c r="L85" s="28">
        <f>C85*G85*10</f>
        <v>357.24400000000003</v>
      </c>
    </row>
    <row r="86" spans="1:12" s="25" customFormat="1" ht="33.75" x14ac:dyDescent="0.25">
      <c r="A86" s="34">
        <v>4</v>
      </c>
      <c r="B86" s="38" t="s">
        <v>207</v>
      </c>
      <c r="C86" s="39">
        <v>0.442</v>
      </c>
      <c r="D86" s="39">
        <v>2</v>
      </c>
      <c r="E86" s="39">
        <v>0</v>
      </c>
      <c r="F86" s="39">
        <v>2</v>
      </c>
      <c r="G86" s="39">
        <v>35</v>
      </c>
      <c r="H86" s="110">
        <f>C86*D86*10</f>
        <v>8.84</v>
      </c>
      <c r="I86" s="111"/>
      <c r="J86" s="39">
        <f>E86*C86*10</f>
        <v>0</v>
      </c>
      <c r="K86" s="39">
        <f>F86*C86*10</f>
        <v>8.84</v>
      </c>
      <c r="L86" s="39">
        <f>G86*C86*10</f>
        <v>154.70000000000002</v>
      </c>
    </row>
    <row r="87" spans="1:12" s="25" customFormat="1" x14ac:dyDescent="0.25">
      <c r="A87" s="34">
        <v>5</v>
      </c>
      <c r="B87" s="40" t="s">
        <v>208</v>
      </c>
      <c r="C87" s="31">
        <v>0.46239999999999998</v>
      </c>
      <c r="D87" s="31">
        <v>7</v>
      </c>
      <c r="E87" s="31">
        <v>16</v>
      </c>
      <c r="F87" s="31">
        <v>13</v>
      </c>
      <c r="G87" s="31">
        <v>177</v>
      </c>
      <c r="H87" s="74">
        <f>D87*C87*10</f>
        <v>32.367999999999995</v>
      </c>
      <c r="I87" s="75"/>
      <c r="J87" s="30">
        <f>E87*C87*10</f>
        <v>73.983999999999995</v>
      </c>
      <c r="K87" s="30">
        <f>F87*C87*10</f>
        <v>60.111999999999995</v>
      </c>
      <c r="L87" s="30">
        <f>G87*C87*10</f>
        <v>818.44799999999987</v>
      </c>
    </row>
    <row r="88" spans="1:12" s="25" customFormat="1" ht="22.5" x14ac:dyDescent="0.25">
      <c r="A88" s="34">
        <v>6</v>
      </c>
      <c r="B88" s="5" t="s">
        <v>209</v>
      </c>
      <c r="C88" s="6">
        <v>0.23699999999999999</v>
      </c>
      <c r="D88" s="6">
        <v>7</v>
      </c>
      <c r="E88" s="6">
        <v>14</v>
      </c>
      <c r="F88" s="6">
        <v>3</v>
      </c>
      <c r="G88" s="6">
        <v>132</v>
      </c>
      <c r="H88" s="112">
        <f>C88*D88*10</f>
        <v>16.589999999999996</v>
      </c>
      <c r="I88" s="113"/>
      <c r="J88" s="6">
        <f>C88*E88*10</f>
        <v>33.179999999999993</v>
      </c>
      <c r="K88" s="6">
        <f>C88*F88*10</f>
        <v>7.1099999999999994</v>
      </c>
      <c r="L88" s="6">
        <f>C88*G88*10</f>
        <v>312.83999999999997</v>
      </c>
    </row>
    <row r="89" spans="1:12" s="25" customFormat="1" ht="22.5" x14ac:dyDescent="0.25">
      <c r="A89" s="34">
        <v>7</v>
      </c>
      <c r="B89" s="5" t="s">
        <v>210</v>
      </c>
      <c r="C89" s="6">
        <v>0.28449999999999998</v>
      </c>
      <c r="D89" s="6" t="s">
        <v>211</v>
      </c>
      <c r="E89" s="6" t="s">
        <v>212</v>
      </c>
      <c r="F89" s="6" t="s">
        <v>213</v>
      </c>
      <c r="G89" s="6" t="s">
        <v>214</v>
      </c>
      <c r="H89" s="114">
        <f>C89*D89*10</f>
        <v>20.455549999999999</v>
      </c>
      <c r="I89" s="115"/>
      <c r="J89" s="8">
        <f>C89*E89*10</f>
        <v>33.201149999999998</v>
      </c>
      <c r="K89" s="8">
        <f>C89*F89*10</f>
        <v>8.9617499999999986</v>
      </c>
      <c r="L89" s="8">
        <f>C89*G89*10</f>
        <v>352.60929999999996</v>
      </c>
    </row>
    <row r="90" spans="1:12" s="25" customFormat="1" ht="33.75" x14ac:dyDescent="0.25">
      <c r="A90" s="34">
        <v>8</v>
      </c>
      <c r="B90" s="5" t="s">
        <v>215</v>
      </c>
      <c r="C90" s="27">
        <v>0.24310000000000001</v>
      </c>
      <c r="D90" s="27">
        <v>11</v>
      </c>
      <c r="E90" s="27">
        <v>19</v>
      </c>
      <c r="F90" s="27">
        <v>2</v>
      </c>
      <c r="G90" s="27">
        <v>184</v>
      </c>
      <c r="H90" s="116">
        <f>C90*D90*10</f>
        <v>26.741</v>
      </c>
      <c r="I90" s="117"/>
      <c r="J90" s="28">
        <f>C90*E90*10</f>
        <v>46.189</v>
      </c>
      <c r="K90" s="28">
        <f>C90*F90*10</f>
        <v>4.8620000000000001</v>
      </c>
      <c r="L90" s="28">
        <f>C90*G90*10</f>
        <v>447.30400000000003</v>
      </c>
    </row>
    <row r="91" spans="1:12" s="25" customFormat="1" ht="22.5" x14ac:dyDescent="0.25">
      <c r="A91" s="34">
        <v>9</v>
      </c>
      <c r="B91" s="40" t="s">
        <v>216</v>
      </c>
      <c r="C91" s="31">
        <v>0.29020000000000001</v>
      </c>
      <c r="D91" s="31">
        <v>36</v>
      </c>
      <c r="E91" s="31">
        <v>7</v>
      </c>
      <c r="F91" s="31">
        <v>4</v>
      </c>
      <c r="G91" s="31">
        <v>362</v>
      </c>
      <c r="H91" s="74">
        <f>D91*C91*10</f>
        <v>104.47200000000001</v>
      </c>
      <c r="I91" s="75"/>
      <c r="J91" s="30">
        <f>E91*C91*10</f>
        <v>20.314</v>
      </c>
      <c r="K91" s="30">
        <f>F91*C91*10</f>
        <v>11.608000000000001</v>
      </c>
      <c r="L91" s="30">
        <f>G91*C91*10</f>
        <v>1050.5240000000001</v>
      </c>
    </row>
    <row r="92" spans="1:12" ht="23.25" customHeight="1" x14ac:dyDescent="0.3">
      <c r="A92" s="66" t="s">
        <v>217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8"/>
    </row>
    <row r="93" spans="1:12" s="25" customFormat="1" ht="22.5" x14ac:dyDescent="0.25">
      <c r="A93" s="15">
        <v>1</v>
      </c>
      <c r="B93" s="16" t="s">
        <v>218</v>
      </c>
      <c r="C93" s="31">
        <v>0.3145</v>
      </c>
      <c r="D93" s="31">
        <v>13</v>
      </c>
      <c r="E93" s="31">
        <v>7</v>
      </c>
      <c r="F93" s="31">
        <v>2</v>
      </c>
      <c r="G93" s="31">
        <v>158</v>
      </c>
      <c r="H93" s="124">
        <f>C93*D93*10</f>
        <v>40.884999999999998</v>
      </c>
      <c r="I93" s="124"/>
      <c r="J93" s="30">
        <f>C93*E93*10</f>
        <v>22.015000000000001</v>
      </c>
      <c r="K93" s="31">
        <f>C93*F93*10</f>
        <v>6.29</v>
      </c>
      <c r="L93" s="31">
        <f>C93*G93*10</f>
        <v>496.91</v>
      </c>
    </row>
    <row r="94" spans="1:12" s="25" customFormat="1" ht="22.5" x14ac:dyDescent="0.25">
      <c r="A94" s="15">
        <v>2</v>
      </c>
      <c r="B94" s="16" t="s">
        <v>219</v>
      </c>
      <c r="C94" s="18">
        <v>0.3745</v>
      </c>
      <c r="D94" s="18" t="s">
        <v>220</v>
      </c>
      <c r="E94" s="18" t="s">
        <v>221</v>
      </c>
      <c r="F94" s="18" t="s">
        <v>222</v>
      </c>
      <c r="G94" s="18" t="s">
        <v>223</v>
      </c>
      <c r="H94" s="126" t="s">
        <v>224</v>
      </c>
      <c r="I94" s="126"/>
      <c r="J94" s="18" t="s">
        <v>225</v>
      </c>
      <c r="K94" s="18" t="s">
        <v>226</v>
      </c>
      <c r="L94" s="18" t="s">
        <v>227</v>
      </c>
    </row>
    <row r="95" spans="1:12" s="25" customFormat="1" x14ac:dyDescent="0.25">
      <c r="A95" s="15">
        <v>3</v>
      </c>
      <c r="B95" s="16" t="s">
        <v>228</v>
      </c>
      <c r="C95" s="31">
        <v>0.3826</v>
      </c>
      <c r="D95" s="31">
        <v>11</v>
      </c>
      <c r="E95" s="31">
        <v>13</v>
      </c>
      <c r="F95" s="31">
        <v>3</v>
      </c>
      <c r="G95" s="31">
        <v>164</v>
      </c>
      <c r="H95" s="124">
        <f>C95*D95*10</f>
        <v>42.085999999999999</v>
      </c>
      <c r="I95" s="124"/>
      <c r="J95" s="30">
        <f>C95*E95*10</f>
        <v>49.738</v>
      </c>
      <c r="K95" s="30">
        <f>C95*F95*10</f>
        <v>11.478</v>
      </c>
      <c r="L95" s="30">
        <f>C95*G95*10</f>
        <v>627.46400000000006</v>
      </c>
    </row>
    <row r="96" spans="1:12" s="25" customFormat="1" ht="22.5" x14ac:dyDescent="0.25">
      <c r="A96" s="15">
        <v>4</v>
      </c>
      <c r="B96" s="16" t="s">
        <v>229</v>
      </c>
      <c r="C96" s="18">
        <v>0.46239999999999998</v>
      </c>
      <c r="D96" s="18" t="s">
        <v>230</v>
      </c>
      <c r="E96" s="18" t="s">
        <v>231</v>
      </c>
      <c r="F96" s="18" t="s">
        <v>232</v>
      </c>
      <c r="G96" s="18" t="s">
        <v>233</v>
      </c>
      <c r="H96" s="126" t="s">
        <v>234</v>
      </c>
      <c r="I96" s="126"/>
      <c r="J96" s="18" t="s">
        <v>235</v>
      </c>
      <c r="K96" s="18" t="s">
        <v>236</v>
      </c>
      <c r="L96" s="18" t="s">
        <v>237</v>
      </c>
    </row>
    <row r="97" spans="1:12" s="25" customFormat="1" ht="22.5" x14ac:dyDescent="0.25">
      <c r="A97" s="15">
        <v>5</v>
      </c>
      <c r="B97" s="16" t="s">
        <v>238</v>
      </c>
      <c r="C97" s="31">
        <v>0.37080000000000002</v>
      </c>
      <c r="D97" s="31">
        <v>26</v>
      </c>
      <c r="E97" s="31">
        <v>8</v>
      </c>
      <c r="F97" s="31">
        <v>16</v>
      </c>
      <c r="G97" s="31">
        <v>328</v>
      </c>
      <c r="H97" s="124">
        <f>C97*D97*10</f>
        <v>96.408000000000001</v>
      </c>
      <c r="I97" s="124"/>
      <c r="J97" s="30">
        <f>C97*E97*10</f>
        <v>29.664000000000001</v>
      </c>
      <c r="K97" s="30">
        <f>C97*F97*10</f>
        <v>59.328000000000003</v>
      </c>
      <c r="L97" s="30">
        <f>C97*G97*10</f>
        <v>1216.2239999999999</v>
      </c>
    </row>
    <row r="98" spans="1:12" s="25" customFormat="1" x14ac:dyDescent="0.25">
      <c r="A98" s="15">
        <v>6</v>
      </c>
      <c r="B98" s="16" t="s">
        <v>239</v>
      </c>
      <c r="C98" s="31">
        <v>0.30430000000000001</v>
      </c>
      <c r="D98" s="31">
        <v>7</v>
      </c>
      <c r="E98" s="31">
        <v>11</v>
      </c>
      <c r="F98" s="31">
        <v>3</v>
      </c>
      <c r="G98" s="31">
        <v>112</v>
      </c>
      <c r="H98" s="124">
        <f>C98*D98*10</f>
        <v>21.301000000000002</v>
      </c>
      <c r="I98" s="124"/>
      <c r="J98" s="30">
        <f>C98*E98*10</f>
        <v>33.472999999999999</v>
      </c>
      <c r="K98" s="30">
        <f>C98*F98*10</f>
        <v>9.1290000000000013</v>
      </c>
      <c r="L98" s="30">
        <f>C98*G98*10</f>
        <v>340.81600000000003</v>
      </c>
    </row>
    <row r="99" spans="1:12" s="25" customFormat="1" ht="22.5" x14ac:dyDescent="0.25">
      <c r="A99" s="15">
        <v>7</v>
      </c>
      <c r="B99" s="16" t="s">
        <v>240</v>
      </c>
      <c r="C99" s="29">
        <v>0.25</v>
      </c>
      <c r="D99" s="31" t="s">
        <v>241</v>
      </c>
      <c r="E99" s="31" t="s">
        <v>242</v>
      </c>
      <c r="F99" s="31" t="s">
        <v>243</v>
      </c>
      <c r="G99" s="31" t="s">
        <v>244</v>
      </c>
      <c r="H99" s="123" t="s">
        <v>245</v>
      </c>
      <c r="I99" s="123"/>
      <c r="J99" s="31" t="s">
        <v>246</v>
      </c>
      <c r="K99" s="31" t="s">
        <v>247</v>
      </c>
      <c r="L99" s="31" t="s">
        <v>248</v>
      </c>
    </row>
    <row r="100" spans="1:12" s="25" customFormat="1" x14ac:dyDescent="0.25">
      <c r="A100" s="15">
        <v>8</v>
      </c>
      <c r="B100" s="16" t="s">
        <v>249</v>
      </c>
      <c r="C100" s="31">
        <v>0.3745</v>
      </c>
      <c r="D100" s="31">
        <v>13</v>
      </c>
      <c r="E100" s="31">
        <v>10</v>
      </c>
      <c r="F100" s="31">
        <v>2</v>
      </c>
      <c r="G100" s="31">
        <v>163</v>
      </c>
      <c r="H100" s="124">
        <f>C100*D100*10</f>
        <v>48.685000000000002</v>
      </c>
      <c r="I100" s="124"/>
      <c r="J100" s="31">
        <f>C100*E100*10</f>
        <v>37.450000000000003</v>
      </c>
      <c r="K100" s="31">
        <f>C100*F100*10</f>
        <v>7.49</v>
      </c>
      <c r="L100" s="30">
        <f>C100*G100*10</f>
        <v>610.43500000000006</v>
      </c>
    </row>
    <row r="101" spans="1:12" s="25" customFormat="1" ht="22.5" x14ac:dyDescent="0.25">
      <c r="A101" s="15">
        <v>9</v>
      </c>
      <c r="B101" s="16" t="s">
        <v>250</v>
      </c>
      <c r="C101" s="29">
        <v>0.28599999999999998</v>
      </c>
      <c r="D101" s="31">
        <v>10</v>
      </c>
      <c r="E101" s="31">
        <v>11</v>
      </c>
      <c r="F101" s="31">
        <v>10</v>
      </c>
      <c r="G101" s="31">
        <v>181</v>
      </c>
      <c r="H101" s="125">
        <f>D101*C101*10</f>
        <v>28.599999999999998</v>
      </c>
      <c r="I101" s="125"/>
      <c r="J101" s="31">
        <f>E101*C101*10</f>
        <v>31.46</v>
      </c>
      <c r="K101" s="31">
        <f>F101*C101*10</f>
        <v>28.599999999999998</v>
      </c>
      <c r="L101" s="31">
        <f>G101*C101*10</f>
        <v>517.66</v>
      </c>
    </row>
    <row r="102" spans="1:12" s="25" customFormat="1" ht="22.5" x14ac:dyDescent="0.25">
      <c r="A102" s="15">
        <v>10</v>
      </c>
      <c r="B102" s="16" t="s">
        <v>251</v>
      </c>
      <c r="C102" s="29">
        <v>0.2243</v>
      </c>
      <c r="D102" s="42">
        <v>5</v>
      </c>
      <c r="E102" s="31">
        <v>13</v>
      </c>
      <c r="F102" s="31">
        <v>4</v>
      </c>
      <c r="G102" s="31">
        <v>105</v>
      </c>
      <c r="H102" s="124">
        <f>C102*D102*10</f>
        <v>11.215</v>
      </c>
      <c r="I102" s="124"/>
      <c r="J102" s="30">
        <f>C102*E102*10</f>
        <v>29.159000000000002</v>
      </c>
      <c r="K102" s="30">
        <f>C102*F102*10</f>
        <v>8.9719999999999995</v>
      </c>
      <c r="L102" s="30">
        <f>C102*G102*10</f>
        <v>235.51500000000001</v>
      </c>
    </row>
    <row r="103" spans="1:12" s="25" customFormat="1" ht="33.75" x14ac:dyDescent="0.25">
      <c r="A103" s="15">
        <v>11</v>
      </c>
      <c r="B103" s="16" t="s">
        <v>252</v>
      </c>
      <c r="C103" s="29">
        <v>0.32929999999999998</v>
      </c>
      <c r="D103" s="42">
        <v>19</v>
      </c>
      <c r="E103" s="31">
        <v>9</v>
      </c>
      <c r="F103" s="31">
        <v>7</v>
      </c>
      <c r="G103" s="31">
        <v>233</v>
      </c>
      <c r="H103" s="124">
        <f>D103*C103*10</f>
        <v>62.566999999999993</v>
      </c>
      <c r="I103" s="124"/>
      <c r="J103" s="30">
        <f>E103*C103*10</f>
        <v>29.636999999999997</v>
      </c>
      <c r="K103" s="30">
        <f>F103*C103*10</f>
        <v>23.050999999999998</v>
      </c>
      <c r="L103" s="30">
        <f>G103*C103*10</f>
        <v>767.26900000000001</v>
      </c>
    </row>
    <row r="104" spans="1:12" s="25" customFormat="1" x14ac:dyDescent="0.25">
      <c r="A104" s="15">
        <v>12</v>
      </c>
      <c r="B104" s="16" t="s">
        <v>253</v>
      </c>
      <c r="C104" s="29">
        <v>0.2898</v>
      </c>
      <c r="D104" s="42">
        <v>13</v>
      </c>
      <c r="E104" s="31">
        <v>6</v>
      </c>
      <c r="F104" s="31">
        <v>2</v>
      </c>
      <c r="G104" s="31">
        <v>155</v>
      </c>
      <c r="H104" s="124">
        <f>D104*C104*10</f>
        <v>37.673999999999999</v>
      </c>
      <c r="I104" s="124"/>
      <c r="J104" s="30">
        <f>E104*C104*10</f>
        <v>17.387999999999998</v>
      </c>
      <c r="K104" s="30">
        <f>F104*C104*10</f>
        <v>5.7960000000000003</v>
      </c>
      <c r="L104" s="31">
        <f>G104*C104*10</f>
        <v>449.18999999999994</v>
      </c>
    </row>
    <row r="105" spans="1:12" s="25" customFormat="1" x14ac:dyDescent="0.25">
      <c r="A105" s="15">
        <v>13</v>
      </c>
      <c r="B105" s="16" t="s">
        <v>254</v>
      </c>
      <c r="C105" s="29">
        <v>0.44629999999999997</v>
      </c>
      <c r="D105" s="42">
        <v>14</v>
      </c>
      <c r="E105" s="31">
        <v>1</v>
      </c>
      <c r="F105" s="31">
        <v>1</v>
      </c>
      <c r="G105" s="31">
        <v>128</v>
      </c>
      <c r="H105" s="129">
        <f>D105*C105*10</f>
        <v>62.481999999999999</v>
      </c>
      <c r="I105" s="129"/>
      <c r="J105" s="43">
        <f>E105*C105*10</f>
        <v>4.4630000000000001</v>
      </c>
      <c r="K105" s="43">
        <f>F105*C105*10</f>
        <v>4.4630000000000001</v>
      </c>
      <c r="L105" s="43">
        <f>G105*C105*10</f>
        <v>571.26400000000001</v>
      </c>
    </row>
    <row r="106" spans="1:12" s="25" customFormat="1" ht="22.5" x14ac:dyDescent="0.25">
      <c r="A106" s="15">
        <v>14</v>
      </c>
      <c r="B106" s="16" t="s">
        <v>255</v>
      </c>
      <c r="C106" s="29">
        <v>0.18429999999999999</v>
      </c>
      <c r="D106" s="42">
        <v>26</v>
      </c>
      <c r="E106" s="31">
        <v>1</v>
      </c>
      <c r="F106" s="31">
        <v>2</v>
      </c>
      <c r="G106" s="31">
        <v>244</v>
      </c>
      <c r="H106" s="124">
        <f>C106*D106*10</f>
        <v>47.917999999999992</v>
      </c>
      <c r="I106" s="124"/>
      <c r="J106" s="30">
        <f>C106*E106*10</f>
        <v>1.843</v>
      </c>
      <c r="K106" s="30">
        <f>C106*F106*10</f>
        <v>3.6859999999999999</v>
      </c>
      <c r="L106" s="30">
        <f>C106*G106*10</f>
        <v>449.69200000000001</v>
      </c>
    </row>
    <row r="107" spans="1:12" s="25" customFormat="1" x14ac:dyDescent="0.25">
      <c r="A107" s="15">
        <v>15</v>
      </c>
      <c r="B107" s="16" t="s">
        <v>256</v>
      </c>
      <c r="C107" s="29">
        <v>0.43059999999999998</v>
      </c>
      <c r="D107" s="42">
        <v>8</v>
      </c>
      <c r="E107" s="31">
        <v>9</v>
      </c>
      <c r="F107" s="31">
        <v>5</v>
      </c>
      <c r="G107" s="31">
        <v>145</v>
      </c>
      <c r="H107" s="129">
        <f t="shared" ref="H107:H115" si="10">D107*C107*10</f>
        <v>34.448</v>
      </c>
      <c r="I107" s="129"/>
      <c r="J107" s="43">
        <f t="shared" ref="J107:J115" si="11">E107*C107*10</f>
        <v>38.753999999999998</v>
      </c>
      <c r="K107" s="43">
        <f t="shared" ref="K107:K115" si="12">F107*C107*10</f>
        <v>21.53</v>
      </c>
      <c r="L107" s="43">
        <f t="shared" ref="L107:L115" si="13">G107*C107*10</f>
        <v>624.37</v>
      </c>
    </row>
    <row r="108" spans="1:12" s="25" customFormat="1" ht="35.25" customHeight="1" x14ac:dyDescent="0.25">
      <c r="A108" s="15">
        <v>16</v>
      </c>
      <c r="B108" s="16" t="s">
        <v>257</v>
      </c>
      <c r="C108" s="29">
        <v>0.34289999999999998</v>
      </c>
      <c r="D108" s="42">
        <v>7</v>
      </c>
      <c r="E108" s="31">
        <v>1</v>
      </c>
      <c r="F108" s="31">
        <v>7</v>
      </c>
      <c r="G108" s="31">
        <v>91</v>
      </c>
      <c r="H108" s="124">
        <f t="shared" si="10"/>
        <v>24.002999999999997</v>
      </c>
      <c r="I108" s="124"/>
      <c r="J108" s="30">
        <f t="shared" si="11"/>
        <v>3.4289999999999998</v>
      </c>
      <c r="K108" s="30">
        <f t="shared" si="12"/>
        <v>24.002999999999997</v>
      </c>
      <c r="L108" s="30">
        <f t="shared" si="13"/>
        <v>312.03899999999999</v>
      </c>
    </row>
    <row r="109" spans="1:12" s="25" customFormat="1" ht="22.5" x14ac:dyDescent="0.25">
      <c r="A109" s="15">
        <v>17</v>
      </c>
      <c r="B109" s="16" t="s">
        <v>540</v>
      </c>
      <c r="C109" s="29">
        <v>0.26500000000000001</v>
      </c>
      <c r="D109" s="42">
        <v>10</v>
      </c>
      <c r="E109" s="31">
        <v>8</v>
      </c>
      <c r="F109" s="31">
        <v>7.5</v>
      </c>
      <c r="G109" s="31">
        <v>150</v>
      </c>
      <c r="H109" s="129">
        <f t="shared" si="10"/>
        <v>26.500000000000004</v>
      </c>
      <c r="I109" s="129"/>
      <c r="J109" s="43">
        <f t="shared" si="11"/>
        <v>21.200000000000003</v>
      </c>
      <c r="K109" s="43">
        <f t="shared" si="12"/>
        <v>19.875</v>
      </c>
      <c r="L109" s="43">
        <f t="shared" si="13"/>
        <v>397.5</v>
      </c>
    </row>
    <row r="110" spans="1:12" s="25" customFormat="1" ht="35.25" customHeight="1" x14ac:dyDescent="0.25">
      <c r="A110" s="15">
        <v>18</v>
      </c>
      <c r="B110" s="16" t="s">
        <v>541</v>
      </c>
      <c r="C110" s="29">
        <v>0.26600000000000001</v>
      </c>
      <c r="D110" s="42">
        <v>10</v>
      </c>
      <c r="E110" s="31">
        <v>8.5</v>
      </c>
      <c r="F110" s="31">
        <v>6.5</v>
      </c>
      <c r="G110" s="31">
        <v>150</v>
      </c>
      <c r="H110" s="124">
        <f t="shared" si="10"/>
        <v>26.6</v>
      </c>
      <c r="I110" s="124"/>
      <c r="J110" s="30">
        <f t="shared" si="11"/>
        <v>22.61</v>
      </c>
      <c r="K110" s="30">
        <f t="shared" si="12"/>
        <v>17.29</v>
      </c>
      <c r="L110" s="30">
        <f t="shared" si="13"/>
        <v>399.00000000000006</v>
      </c>
    </row>
    <row r="111" spans="1:12" s="25" customFormat="1" ht="30" customHeight="1" x14ac:dyDescent="0.25">
      <c r="A111" s="15">
        <v>19</v>
      </c>
      <c r="B111" s="16" t="s">
        <v>551</v>
      </c>
      <c r="C111" s="29">
        <v>0.36180000000000001</v>
      </c>
      <c r="D111" s="42">
        <v>5</v>
      </c>
      <c r="E111" s="31">
        <v>1</v>
      </c>
      <c r="F111" s="31">
        <v>6</v>
      </c>
      <c r="G111" s="31">
        <v>70</v>
      </c>
      <c r="H111" s="124">
        <f t="shared" si="10"/>
        <v>18.090000000000003</v>
      </c>
      <c r="I111" s="124"/>
      <c r="J111" s="30">
        <f t="shared" si="11"/>
        <v>3.6180000000000003</v>
      </c>
      <c r="K111" s="30">
        <f t="shared" si="12"/>
        <v>21.707999999999998</v>
      </c>
      <c r="L111" s="30">
        <f t="shared" si="13"/>
        <v>253.26</v>
      </c>
    </row>
    <row r="112" spans="1:12" s="25" customFormat="1" ht="27" customHeight="1" x14ac:dyDescent="0.25">
      <c r="A112" s="15">
        <v>20</v>
      </c>
      <c r="B112" s="16" t="s">
        <v>552</v>
      </c>
      <c r="C112" s="29">
        <v>0.39889999999999998</v>
      </c>
      <c r="D112" s="42">
        <v>9</v>
      </c>
      <c r="E112" s="31">
        <v>6.5</v>
      </c>
      <c r="F112" s="31">
        <v>6.5</v>
      </c>
      <c r="G112" s="31">
        <v>130</v>
      </c>
      <c r="H112" s="124">
        <f t="shared" si="10"/>
        <v>35.900999999999996</v>
      </c>
      <c r="I112" s="124"/>
      <c r="J112" s="30">
        <f t="shared" si="11"/>
        <v>25.9285</v>
      </c>
      <c r="K112" s="30">
        <f t="shared" si="12"/>
        <v>25.9285</v>
      </c>
      <c r="L112" s="30">
        <f t="shared" si="13"/>
        <v>518.56999999999994</v>
      </c>
    </row>
    <row r="113" spans="1:17" s="25" customFormat="1" ht="35.25" customHeight="1" x14ac:dyDescent="0.25">
      <c r="A113" s="15">
        <v>21</v>
      </c>
      <c r="B113" s="16" t="s">
        <v>554</v>
      </c>
      <c r="C113" s="29">
        <v>0.37430000000000002</v>
      </c>
      <c r="D113" s="42">
        <v>8.5</v>
      </c>
      <c r="E113" s="71">
        <v>6</v>
      </c>
      <c r="F113" s="71">
        <v>19</v>
      </c>
      <c r="G113" s="71">
        <v>180</v>
      </c>
      <c r="H113" s="124">
        <f t="shared" ref="H113:H114" si="14">D113*C113*10</f>
        <v>31.8155</v>
      </c>
      <c r="I113" s="124"/>
      <c r="J113" s="69">
        <f t="shared" ref="J113:J114" si="15">E113*C113*10</f>
        <v>22.457999999999998</v>
      </c>
      <c r="K113" s="69">
        <f t="shared" ref="K113:K114" si="16">F113*C113*10</f>
        <v>71.117000000000004</v>
      </c>
      <c r="L113" s="69">
        <f t="shared" ref="L113:L114" si="17">G113*C113*10</f>
        <v>673.74000000000012</v>
      </c>
    </row>
    <row r="114" spans="1:17" s="25" customFormat="1" ht="24.75" customHeight="1" x14ac:dyDescent="0.25">
      <c r="A114" s="15">
        <v>22</v>
      </c>
      <c r="B114" s="16" t="s">
        <v>561</v>
      </c>
      <c r="C114" s="29">
        <v>0.45900000000000002</v>
      </c>
      <c r="D114" s="42">
        <v>11</v>
      </c>
      <c r="E114" s="71">
        <v>6.5</v>
      </c>
      <c r="F114" s="71">
        <v>6.5</v>
      </c>
      <c r="G114" s="71">
        <v>160</v>
      </c>
      <c r="H114" s="124">
        <f t="shared" si="14"/>
        <v>50.49</v>
      </c>
      <c r="I114" s="124"/>
      <c r="J114" s="69">
        <f t="shared" si="15"/>
        <v>29.835000000000001</v>
      </c>
      <c r="K114" s="69">
        <f t="shared" si="16"/>
        <v>29.835000000000001</v>
      </c>
      <c r="L114" s="69">
        <f t="shared" si="17"/>
        <v>734.4</v>
      </c>
    </row>
    <row r="115" spans="1:17" s="25" customFormat="1" ht="27.75" customHeight="1" x14ac:dyDescent="0.25">
      <c r="A115" s="15">
        <v>23</v>
      </c>
      <c r="B115" s="16" t="s">
        <v>562</v>
      </c>
      <c r="C115" s="29">
        <v>0.34939999999999999</v>
      </c>
      <c r="D115" s="42">
        <v>16</v>
      </c>
      <c r="E115" s="31">
        <v>8</v>
      </c>
      <c r="F115" s="31">
        <v>6.5</v>
      </c>
      <c r="G115" s="31">
        <v>200</v>
      </c>
      <c r="H115" s="124">
        <f t="shared" si="10"/>
        <v>55.903999999999996</v>
      </c>
      <c r="I115" s="124"/>
      <c r="J115" s="30">
        <f t="shared" si="11"/>
        <v>27.951999999999998</v>
      </c>
      <c r="K115" s="30">
        <f t="shared" si="12"/>
        <v>22.711000000000002</v>
      </c>
      <c r="L115" s="30">
        <f t="shared" si="13"/>
        <v>698.8</v>
      </c>
    </row>
    <row r="116" spans="1:17" x14ac:dyDescent="0.25">
      <c r="A116" s="130" t="s">
        <v>258</v>
      </c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</row>
    <row r="117" spans="1:17" s="25" customFormat="1" ht="15.75" customHeight="1" x14ac:dyDescent="0.25">
      <c r="A117" s="44" t="s">
        <v>77</v>
      </c>
      <c r="B117" s="45" t="s">
        <v>259</v>
      </c>
      <c r="C117" s="46" t="s">
        <v>260</v>
      </c>
      <c r="D117" s="46" t="s">
        <v>261</v>
      </c>
      <c r="E117" s="46" t="s">
        <v>262</v>
      </c>
      <c r="F117" s="46" t="s">
        <v>263</v>
      </c>
      <c r="G117" s="46" t="s">
        <v>264</v>
      </c>
      <c r="H117" s="131" t="s">
        <v>265</v>
      </c>
      <c r="I117" s="132"/>
      <c r="J117" s="46" t="s">
        <v>266</v>
      </c>
      <c r="K117" s="46" t="s">
        <v>267</v>
      </c>
      <c r="L117" s="46" t="s">
        <v>268</v>
      </c>
      <c r="Q117" s="47"/>
    </row>
    <row r="118" spans="1:17" s="25" customFormat="1" ht="21" customHeight="1" x14ac:dyDescent="0.25">
      <c r="A118" s="34">
        <v>2</v>
      </c>
      <c r="B118" s="35" t="s">
        <v>269</v>
      </c>
      <c r="C118" s="27" t="s">
        <v>270</v>
      </c>
      <c r="D118" s="27">
        <v>4</v>
      </c>
      <c r="E118" s="27">
        <v>1</v>
      </c>
      <c r="F118" s="27">
        <v>7</v>
      </c>
      <c r="G118" s="27">
        <v>66</v>
      </c>
      <c r="H118" s="127">
        <f>C118*D118*10</f>
        <v>8.08</v>
      </c>
      <c r="I118" s="128"/>
      <c r="J118" s="27">
        <f>C118*E118*10</f>
        <v>2.02</v>
      </c>
      <c r="K118" s="27">
        <f>C118*F118*10</f>
        <v>14.14</v>
      </c>
      <c r="L118" s="28">
        <f>C118*G118</f>
        <v>13.332000000000001</v>
      </c>
    </row>
    <row r="119" spans="1:17" s="25" customFormat="1" ht="16.5" customHeight="1" x14ac:dyDescent="0.25">
      <c r="A119" s="34" t="s">
        <v>271</v>
      </c>
      <c r="B119" s="35" t="s">
        <v>272</v>
      </c>
      <c r="C119" s="27">
        <v>0.2273</v>
      </c>
      <c r="D119" s="27">
        <v>4</v>
      </c>
      <c r="E119" s="27">
        <v>2</v>
      </c>
      <c r="F119" s="27">
        <v>8</v>
      </c>
      <c r="G119" s="27">
        <v>83</v>
      </c>
      <c r="H119" s="127" t="s">
        <v>273</v>
      </c>
      <c r="I119" s="128"/>
      <c r="J119" s="27" t="s">
        <v>274</v>
      </c>
      <c r="K119" s="27" t="s">
        <v>275</v>
      </c>
      <c r="L119" s="27">
        <v>187.14</v>
      </c>
    </row>
    <row r="120" spans="1:17" s="25" customFormat="1" ht="21" customHeight="1" x14ac:dyDescent="0.25">
      <c r="A120" s="34">
        <v>4</v>
      </c>
      <c r="B120" s="35" t="s">
        <v>276</v>
      </c>
      <c r="C120" s="41">
        <v>0.26040000000000002</v>
      </c>
      <c r="D120" s="27">
        <v>13</v>
      </c>
      <c r="E120" s="27">
        <v>2</v>
      </c>
      <c r="F120" s="27">
        <v>21</v>
      </c>
      <c r="G120" s="27">
        <v>234</v>
      </c>
      <c r="H120" s="116">
        <f>C120*D120*10</f>
        <v>33.852000000000004</v>
      </c>
      <c r="I120" s="117"/>
      <c r="J120" s="28">
        <f>C120*E120*10</f>
        <v>5.2080000000000002</v>
      </c>
      <c r="K120" s="28">
        <f>C120*F120*10</f>
        <v>54.684000000000012</v>
      </c>
      <c r="L120" s="28">
        <f>C120*G120*10</f>
        <v>609.33600000000001</v>
      </c>
    </row>
    <row r="121" spans="1:17" s="25" customFormat="1" ht="21.75" customHeight="1" x14ac:dyDescent="0.25">
      <c r="A121" s="34">
        <v>5</v>
      </c>
      <c r="B121" s="35" t="s">
        <v>277</v>
      </c>
      <c r="C121" s="27" t="s">
        <v>278</v>
      </c>
      <c r="D121" s="27">
        <v>11</v>
      </c>
      <c r="E121" s="27">
        <v>2</v>
      </c>
      <c r="F121" s="27">
        <v>13</v>
      </c>
      <c r="G121" s="27">
        <v>153</v>
      </c>
      <c r="H121" s="127">
        <f>C121*D121*10</f>
        <v>29.700000000000003</v>
      </c>
      <c r="I121" s="128"/>
      <c r="J121" s="27">
        <f>C121*E121*10</f>
        <v>5.4</v>
      </c>
      <c r="K121" s="27">
        <f>C121*F121*10</f>
        <v>35.1</v>
      </c>
      <c r="L121" s="27">
        <f>C121*G121*10</f>
        <v>413.1</v>
      </c>
    </row>
    <row r="122" spans="1:17" s="25" customFormat="1" ht="24" customHeight="1" x14ac:dyDescent="0.25">
      <c r="A122" s="3">
        <v>6</v>
      </c>
      <c r="B122" s="40" t="s">
        <v>279</v>
      </c>
      <c r="C122" s="48">
        <v>0.34539999999999998</v>
      </c>
      <c r="D122" s="31">
        <v>19</v>
      </c>
      <c r="E122" s="31">
        <v>2</v>
      </c>
      <c r="F122" s="31">
        <v>7</v>
      </c>
      <c r="G122" s="31">
        <v>206</v>
      </c>
      <c r="H122" s="74">
        <f t="shared" ref="H122:H129" si="18">D122*C122*10</f>
        <v>65.626000000000005</v>
      </c>
      <c r="I122" s="75"/>
      <c r="J122" s="30">
        <f t="shared" ref="J122:J129" si="19">E122*C122*10</f>
        <v>6.9079999999999995</v>
      </c>
      <c r="K122" s="30">
        <f t="shared" ref="K122:K129" si="20">F122*C122*10</f>
        <v>24.177999999999997</v>
      </c>
      <c r="L122" s="30">
        <f t="shared" ref="L122:L129" si="21">G122*C122*10</f>
        <v>711.524</v>
      </c>
    </row>
    <row r="123" spans="1:17" s="25" customFormat="1" ht="24.75" customHeight="1" x14ac:dyDescent="0.25">
      <c r="A123" s="3">
        <v>7</v>
      </c>
      <c r="B123" s="40" t="s">
        <v>280</v>
      </c>
      <c r="C123" s="48">
        <v>0.24690000000000001</v>
      </c>
      <c r="D123" s="31">
        <v>22</v>
      </c>
      <c r="E123" s="31">
        <v>6</v>
      </c>
      <c r="F123" s="31">
        <v>8</v>
      </c>
      <c r="G123" s="31">
        <v>250</v>
      </c>
      <c r="H123" s="74">
        <f t="shared" si="18"/>
        <v>54.317999999999998</v>
      </c>
      <c r="I123" s="75"/>
      <c r="J123" s="30">
        <f t="shared" si="19"/>
        <v>14.814</v>
      </c>
      <c r="K123" s="30">
        <f t="shared" si="20"/>
        <v>19.752000000000002</v>
      </c>
      <c r="L123" s="30">
        <f t="shared" si="21"/>
        <v>617.25</v>
      </c>
    </row>
    <row r="124" spans="1:17" s="25" customFormat="1" ht="24" customHeight="1" x14ac:dyDescent="0.25">
      <c r="A124" s="3">
        <v>8</v>
      </c>
      <c r="B124" s="40" t="s">
        <v>542</v>
      </c>
      <c r="C124" s="48">
        <v>0.23499999999999999</v>
      </c>
      <c r="D124" s="31">
        <v>12</v>
      </c>
      <c r="E124" s="31">
        <v>1.5</v>
      </c>
      <c r="F124" s="31">
        <v>5.5</v>
      </c>
      <c r="G124" s="31">
        <v>130</v>
      </c>
      <c r="H124" s="74">
        <f t="shared" si="18"/>
        <v>28.2</v>
      </c>
      <c r="I124" s="75"/>
      <c r="J124" s="30">
        <f t="shared" si="19"/>
        <v>3.5249999999999999</v>
      </c>
      <c r="K124" s="30">
        <f t="shared" si="20"/>
        <v>12.925000000000001</v>
      </c>
      <c r="L124" s="30">
        <f t="shared" si="21"/>
        <v>305.5</v>
      </c>
    </row>
    <row r="125" spans="1:17" s="25" customFormat="1" ht="24.75" customHeight="1" x14ac:dyDescent="0.25">
      <c r="A125" s="3">
        <v>9</v>
      </c>
      <c r="B125" s="40" t="s">
        <v>543</v>
      </c>
      <c r="C125" s="48">
        <v>0.30449999999999999</v>
      </c>
      <c r="D125" s="31">
        <v>1</v>
      </c>
      <c r="E125" s="31">
        <v>2.5</v>
      </c>
      <c r="F125" s="31">
        <v>4</v>
      </c>
      <c r="G125" s="31">
        <v>35</v>
      </c>
      <c r="H125" s="74">
        <f t="shared" si="18"/>
        <v>3.0449999999999999</v>
      </c>
      <c r="I125" s="75"/>
      <c r="J125" s="30">
        <f t="shared" si="19"/>
        <v>7.6124999999999998</v>
      </c>
      <c r="K125" s="30">
        <f t="shared" si="20"/>
        <v>12.18</v>
      </c>
      <c r="L125" s="30">
        <f t="shared" si="21"/>
        <v>106.57499999999999</v>
      </c>
    </row>
    <row r="126" spans="1:17" s="25" customFormat="1" ht="24.75" customHeight="1" x14ac:dyDescent="0.25">
      <c r="A126" s="72">
        <v>10</v>
      </c>
      <c r="B126" s="40" t="s">
        <v>544</v>
      </c>
      <c r="C126" s="48">
        <v>0.1915</v>
      </c>
      <c r="D126" s="71">
        <v>14</v>
      </c>
      <c r="E126" s="71">
        <v>2.5</v>
      </c>
      <c r="F126" s="71">
        <v>0</v>
      </c>
      <c r="G126" s="71">
        <v>140</v>
      </c>
      <c r="H126" s="74">
        <f t="shared" si="18"/>
        <v>26.810000000000002</v>
      </c>
      <c r="I126" s="75"/>
      <c r="J126" s="69">
        <f t="shared" si="19"/>
        <v>4.7874999999999996</v>
      </c>
      <c r="K126" s="69">
        <f t="shared" si="20"/>
        <v>0</v>
      </c>
      <c r="L126" s="69">
        <f t="shared" si="21"/>
        <v>268.10000000000002</v>
      </c>
    </row>
    <row r="127" spans="1:17" s="25" customFormat="1" ht="24.75" customHeight="1" x14ac:dyDescent="0.25">
      <c r="A127" s="72">
        <v>11</v>
      </c>
      <c r="B127" s="40" t="s">
        <v>563</v>
      </c>
      <c r="C127" s="48">
        <v>0.25380000000000003</v>
      </c>
      <c r="D127" s="71">
        <v>3.5</v>
      </c>
      <c r="E127" s="71">
        <v>3</v>
      </c>
      <c r="F127" s="71">
        <v>4.5</v>
      </c>
      <c r="G127" s="71">
        <v>60</v>
      </c>
      <c r="H127" s="74">
        <f t="shared" si="18"/>
        <v>8.8830000000000009</v>
      </c>
      <c r="I127" s="75"/>
      <c r="J127" s="69">
        <f t="shared" si="19"/>
        <v>7.6140000000000008</v>
      </c>
      <c r="K127" s="69">
        <f t="shared" si="20"/>
        <v>11.421000000000001</v>
      </c>
      <c r="L127" s="69">
        <f t="shared" si="21"/>
        <v>152.28000000000003</v>
      </c>
    </row>
    <row r="128" spans="1:17" s="25" customFormat="1" ht="24.75" customHeight="1" x14ac:dyDescent="0.25">
      <c r="A128" s="72">
        <v>12</v>
      </c>
      <c r="B128" s="40" t="s">
        <v>564</v>
      </c>
      <c r="C128" s="48">
        <v>0.1835</v>
      </c>
      <c r="D128" s="71">
        <v>0.3</v>
      </c>
      <c r="E128" s="71">
        <v>1</v>
      </c>
      <c r="F128" s="71">
        <v>5.5</v>
      </c>
      <c r="G128" s="71">
        <v>25</v>
      </c>
      <c r="H128" s="74">
        <f t="shared" si="18"/>
        <v>0.55049999999999999</v>
      </c>
      <c r="I128" s="75"/>
      <c r="J128" s="69">
        <f t="shared" si="19"/>
        <v>1.835</v>
      </c>
      <c r="K128" s="69">
        <f t="shared" si="20"/>
        <v>10.092499999999999</v>
      </c>
      <c r="L128" s="69">
        <f t="shared" si="21"/>
        <v>45.875</v>
      </c>
    </row>
    <row r="129" spans="1:12" s="25" customFormat="1" ht="24.75" customHeight="1" x14ac:dyDescent="0.25">
      <c r="A129" s="3">
        <v>13</v>
      </c>
      <c r="B129" s="40" t="s">
        <v>565</v>
      </c>
      <c r="C129" s="48">
        <v>0.28499999999999998</v>
      </c>
      <c r="D129" s="31">
        <v>13</v>
      </c>
      <c r="E129" s="31">
        <v>2</v>
      </c>
      <c r="F129" s="31">
        <v>17</v>
      </c>
      <c r="G129" s="31">
        <v>200</v>
      </c>
      <c r="H129" s="74">
        <f t="shared" si="18"/>
        <v>37.049999999999997</v>
      </c>
      <c r="I129" s="75"/>
      <c r="J129" s="30">
        <f t="shared" si="19"/>
        <v>5.6999999999999993</v>
      </c>
      <c r="K129" s="30">
        <f t="shared" si="20"/>
        <v>48.449999999999996</v>
      </c>
      <c r="L129" s="30">
        <f t="shared" si="21"/>
        <v>569.99999999999989</v>
      </c>
    </row>
    <row r="130" spans="1:12" ht="19.5" thickBot="1" x14ac:dyDescent="0.35">
      <c r="A130" s="135" t="s">
        <v>420</v>
      </c>
      <c r="B130" s="135"/>
      <c r="C130" s="135"/>
      <c r="D130" s="135"/>
      <c r="E130" s="135"/>
      <c r="F130" s="135"/>
      <c r="G130" s="135"/>
      <c r="H130" s="135"/>
      <c r="I130" s="135"/>
      <c r="J130" s="135"/>
      <c r="K130" s="135"/>
      <c r="L130" s="136"/>
    </row>
    <row r="131" spans="1:12" x14ac:dyDescent="0.25">
      <c r="A131" s="22" t="s">
        <v>77</v>
      </c>
      <c r="B131" s="23" t="s">
        <v>421</v>
      </c>
      <c r="C131" s="54" t="s">
        <v>384</v>
      </c>
      <c r="D131" s="54" t="s">
        <v>422</v>
      </c>
      <c r="E131" s="54" t="s">
        <v>368</v>
      </c>
      <c r="F131" s="54" t="s">
        <v>368</v>
      </c>
      <c r="G131" s="54" t="s">
        <v>423</v>
      </c>
      <c r="H131" s="137" t="s">
        <v>424</v>
      </c>
      <c r="I131" s="138"/>
      <c r="J131" s="54" t="s">
        <v>368</v>
      </c>
      <c r="K131" s="54" t="s">
        <v>368</v>
      </c>
      <c r="L131" s="54" t="s">
        <v>425</v>
      </c>
    </row>
    <row r="132" spans="1:12" x14ac:dyDescent="0.25">
      <c r="A132" s="4">
        <v>2</v>
      </c>
      <c r="B132" s="5" t="s">
        <v>426</v>
      </c>
      <c r="C132" s="6" t="s">
        <v>355</v>
      </c>
      <c r="D132" s="6" t="s">
        <v>427</v>
      </c>
      <c r="E132" s="6" t="s">
        <v>428</v>
      </c>
      <c r="F132" s="6" t="s">
        <v>429</v>
      </c>
      <c r="G132" s="6" t="s">
        <v>430</v>
      </c>
      <c r="H132" s="85" t="s">
        <v>431</v>
      </c>
      <c r="I132" s="85"/>
      <c r="J132" s="6" t="s">
        <v>432</v>
      </c>
      <c r="K132" s="6" t="s">
        <v>433</v>
      </c>
      <c r="L132" s="6" t="s">
        <v>434</v>
      </c>
    </row>
    <row r="133" spans="1:12" x14ac:dyDescent="0.25">
      <c r="A133" s="4">
        <v>3</v>
      </c>
      <c r="B133" s="5" t="s">
        <v>435</v>
      </c>
      <c r="C133" s="9" t="s">
        <v>436</v>
      </c>
      <c r="D133" s="9" t="s">
        <v>437</v>
      </c>
      <c r="E133" s="9" t="s">
        <v>438</v>
      </c>
      <c r="F133" s="9" t="s">
        <v>439</v>
      </c>
      <c r="G133" s="9" t="s">
        <v>440</v>
      </c>
      <c r="H133" s="94" t="s">
        <v>441</v>
      </c>
      <c r="I133" s="95"/>
      <c r="J133" s="9" t="s">
        <v>139</v>
      </c>
      <c r="K133" s="9" t="s">
        <v>442</v>
      </c>
      <c r="L133" s="9" t="s">
        <v>443</v>
      </c>
    </row>
    <row r="134" spans="1:12" x14ac:dyDescent="0.25">
      <c r="A134" s="4">
        <v>4</v>
      </c>
      <c r="B134" s="5" t="s">
        <v>444</v>
      </c>
      <c r="C134" s="6" t="s">
        <v>384</v>
      </c>
      <c r="D134" s="6" t="s">
        <v>445</v>
      </c>
      <c r="E134" s="6" t="s">
        <v>380</v>
      </c>
      <c r="F134" s="6" t="s">
        <v>446</v>
      </c>
      <c r="G134" s="6" t="s">
        <v>447</v>
      </c>
      <c r="H134" s="85" t="s">
        <v>415</v>
      </c>
      <c r="I134" s="85"/>
      <c r="J134" s="6" t="s">
        <v>448</v>
      </c>
      <c r="K134" s="6" t="s">
        <v>442</v>
      </c>
      <c r="L134" s="6" t="s">
        <v>449</v>
      </c>
    </row>
    <row r="135" spans="1:12" ht="19.5" thickBot="1" x14ac:dyDescent="0.35">
      <c r="A135" s="97" t="s">
        <v>450</v>
      </c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8"/>
    </row>
    <row r="136" spans="1:12" s="25" customFormat="1" ht="22.5" x14ac:dyDescent="0.25">
      <c r="A136" s="22">
        <v>1</v>
      </c>
      <c r="B136" s="23" t="s">
        <v>451</v>
      </c>
      <c r="C136" s="24">
        <v>0.2087</v>
      </c>
      <c r="D136" s="24" t="s">
        <v>452</v>
      </c>
      <c r="E136" s="24" t="s">
        <v>453</v>
      </c>
      <c r="F136" s="24" t="s">
        <v>454</v>
      </c>
      <c r="G136" s="24" t="s">
        <v>455</v>
      </c>
      <c r="H136" s="99" t="s">
        <v>456</v>
      </c>
      <c r="I136" s="99"/>
      <c r="J136" s="24" t="s">
        <v>457</v>
      </c>
      <c r="K136" s="24" t="s">
        <v>458</v>
      </c>
      <c r="L136" s="24" t="s">
        <v>459</v>
      </c>
    </row>
    <row r="137" spans="1:12" s="25" customFormat="1" x14ac:dyDescent="0.25">
      <c r="A137" s="4" t="s">
        <v>364</v>
      </c>
      <c r="B137" s="5" t="s">
        <v>460</v>
      </c>
      <c r="C137" s="6">
        <v>0.29099999999999998</v>
      </c>
      <c r="D137" s="6" t="s">
        <v>461</v>
      </c>
      <c r="E137" s="6" t="s">
        <v>462</v>
      </c>
      <c r="F137" s="6" t="s">
        <v>463</v>
      </c>
      <c r="G137" s="6" t="s">
        <v>464</v>
      </c>
      <c r="H137" s="86">
        <f>C137*D137*10</f>
        <v>17.809199999999997</v>
      </c>
      <c r="I137" s="86"/>
      <c r="J137" s="8">
        <f>C137*E137*10</f>
        <v>21.4176</v>
      </c>
      <c r="K137" s="8">
        <f>C137*F137*10</f>
        <v>129.9897</v>
      </c>
      <c r="L137" s="8">
        <f>C137*G137*10</f>
        <v>765.91199999999981</v>
      </c>
    </row>
    <row r="138" spans="1:12" s="25" customFormat="1" ht="22.5" x14ac:dyDescent="0.25">
      <c r="A138" s="10" t="s">
        <v>271</v>
      </c>
      <c r="B138" s="11" t="s">
        <v>465</v>
      </c>
      <c r="C138" s="13">
        <v>0.27800000000000002</v>
      </c>
      <c r="D138" s="13" t="s">
        <v>466</v>
      </c>
      <c r="E138" s="13" t="s">
        <v>467</v>
      </c>
      <c r="F138" s="13" t="s">
        <v>468</v>
      </c>
      <c r="G138" s="13" t="s">
        <v>469</v>
      </c>
      <c r="H138" s="148">
        <f>C138*D138*10</f>
        <v>13.232800000000001</v>
      </c>
      <c r="I138" s="148"/>
      <c r="J138" s="14">
        <f>C138*E138*10</f>
        <v>19.682400000000001</v>
      </c>
      <c r="K138" s="14">
        <f>C138*F138*10</f>
        <v>129.88159999999999</v>
      </c>
      <c r="L138" s="13">
        <f>C138*G138*10</f>
        <v>717.24</v>
      </c>
    </row>
    <row r="139" spans="1:12" s="25" customFormat="1" x14ac:dyDescent="0.25">
      <c r="A139" s="55">
        <v>4</v>
      </c>
      <c r="B139" s="16" t="s">
        <v>470</v>
      </c>
      <c r="C139" s="56">
        <v>0.42</v>
      </c>
      <c r="D139" s="57">
        <v>10</v>
      </c>
      <c r="E139" s="57">
        <v>10</v>
      </c>
      <c r="F139" s="57">
        <v>25</v>
      </c>
      <c r="G139" s="58">
        <v>237</v>
      </c>
      <c r="H139" s="149">
        <f>D139*C139*10</f>
        <v>42</v>
      </c>
      <c r="I139" s="150"/>
      <c r="J139" s="57">
        <f>E139*C139*10</f>
        <v>42</v>
      </c>
      <c r="K139" s="57">
        <f>F139*C139*10</f>
        <v>105</v>
      </c>
      <c r="L139" s="57">
        <f>G139*C139*10</f>
        <v>995.39999999999986</v>
      </c>
    </row>
    <row r="140" spans="1:12" s="25" customFormat="1" x14ac:dyDescent="0.25">
      <c r="A140" s="55">
        <v>5</v>
      </c>
      <c r="B140" s="16" t="s">
        <v>532</v>
      </c>
      <c r="C140" s="56">
        <v>0.14000000000000001</v>
      </c>
      <c r="D140" s="57">
        <v>27</v>
      </c>
      <c r="E140" s="57">
        <v>4.5</v>
      </c>
      <c r="F140" s="57">
        <v>32</v>
      </c>
      <c r="G140" s="58">
        <v>390</v>
      </c>
      <c r="H140" s="149">
        <f>D140*C140*10</f>
        <v>37.800000000000004</v>
      </c>
      <c r="I140" s="150"/>
      <c r="J140" s="57">
        <f>E140*C140*10</f>
        <v>6.3000000000000007</v>
      </c>
      <c r="K140" s="57">
        <f>F140*C140*10</f>
        <v>44.800000000000004</v>
      </c>
      <c r="L140" s="57">
        <f>G140*C140*10</f>
        <v>546.00000000000011</v>
      </c>
    </row>
    <row r="141" spans="1:12" s="25" customFormat="1" ht="18.75" x14ac:dyDescent="0.3">
      <c r="A141" s="133" t="s">
        <v>281</v>
      </c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4"/>
    </row>
    <row r="142" spans="1:12" s="25" customFormat="1" x14ac:dyDescent="0.25">
      <c r="A142" s="4">
        <v>1</v>
      </c>
      <c r="B142" s="5" t="s">
        <v>282</v>
      </c>
      <c r="C142" s="27">
        <v>0.53010000000000002</v>
      </c>
      <c r="D142" s="27">
        <v>10</v>
      </c>
      <c r="E142" s="27">
        <v>10</v>
      </c>
      <c r="F142" s="27">
        <v>23</v>
      </c>
      <c r="G142" s="27">
        <v>229</v>
      </c>
      <c r="H142" s="107" t="s">
        <v>283</v>
      </c>
      <c r="I142" s="107"/>
      <c r="J142" s="27" t="s">
        <v>284</v>
      </c>
      <c r="K142" s="27" t="s">
        <v>285</v>
      </c>
      <c r="L142" s="28">
        <f>C142*G142*10</f>
        <v>1213.9290000000001</v>
      </c>
    </row>
    <row r="143" spans="1:12" s="25" customFormat="1" x14ac:dyDescent="0.25">
      <c r="A143" s="4">
        <v>2</v>
      </c>
      <c r="B143" s="5" t="s">
        <v>286</v>
      </c>
      <c r="C143" s="41">
        <v>0.36559999999999998</v>
      </c>
      <c r="D143" s="27">
        <v>3</v>
      </c>
      <c r="E143" s="27">
        <v>4</v>
      </c>
      <c r="F143" s="27">
        <v>25</v>
      </c>
      <c r="G143" s="27">
        <v>139</v>
      </c>
      <c r="H143" s="107">
        <f>D143*C143*10</f>
        <v>10.968</v>
      </c>
      <c r="I143" s="107"/>
      <c r="J143" s="27">
        <f>E143*C143*10</f>
        <v>14.623999999999999</v>
      </c>
      <c r="K143" s="27">
        <f>F143*C143*10</f>
        <v>91.399999999999991</v>
      </c>
      <c r="L143" s="27">
        <f>G143*C143*10</f>
        <v>508.18399999999997</v>
      </c>
    </row>
    <row r="144" spans="1:12" s="25" customFormat="1" ht="22.5" x14ac:dyDescent="0.25">
      <c r="A144" s="4">
        <v>4</v>
      </c>
      <c r="B144" s="5" t="s">
        <v>287</v>
      </c>
      <c r="C144" s="27">
        <v>0.50900000000000001</v>
      </c>
      <c r="D144" s="27">
        <v>12</v>
      </c>
      <c r="E144" s="27">
        <v>7</v>
      </c>
      <c r="F144" s="27">
        <v>18</v>
      </c>
      <c r="G144" s="27">
        <v>203</v>
      </c>
      <c r="H144" s="107">
        <f>D144*C144*10</f>
        <v>61.080000000000005</v>
      </c>
      <c r="I144" s="107"/>
      <c r="J144" s="27">
        <f>E144*C144*10</f>
        <v>35.630000000000003</v>
      </c>
      <c r="K144" s="27">
        <f>F144*C144*10</f>
        <v>91.62</v>
      </c>
      <c r="L144" s="27">
        <f>G144*C144*10</f>
        <v>1033.27</v>
      </c>
    </row>
    <row r="145" spans="1:12" s="25" customFormat="1" ht="22.5" x14ac:dyDescent="0.25">
      <c r="A145" s="4">
        <v>5</v>
      </c>
      <c r="B145" s="5" t="s">
        <v>288</v>
      </c>
      <c r="C145" s="27">
        <v>0.5091</v>
      </c>
      <c r="D145" s="27">
        <v>5</v>
      </c>
      <c r="E145" s="27">
        <v>10</v>
      </c>
      <c r="F145" s="27">
        <v>27</v>
      </c>
      <c r="G145" s="27">
        <v>190</v>
      </c>
      <c r="H145" s="106">
        <f>C145*D145*10</f>
        <v>25.455000000000002</v>
      </c>
      <c r="I145" s="106"/>
      <c r="J145" s="27">
        <f>C145*E145*10</f>
        <v>50.910000000000004</v>
      </c>
      <c r="K145" s="28">
        <f>C145*F145*10</f>
        <v>137.45699999999999</v>
      </c>
      <c r="L145" s="27">
        <f>C145*G145*10</f>
        <v>967.29</v>
      </c>
    </row>
    <row r="146" spans="1:12" s="25" customFormat="1" x14ac:dyDescent="0.25">
      <c r="A146" s="4">
        <v>6</v>
      </c>
      <c r="B146" s="5" t="s">
        <v>289</v>
      </c>
      <c r="C146" s="27">
        <v>0.57689999999999997</v>
      </c>
      <c r="D146" s="27" t="s">
        <v>290</v>
      </c>
      <c r="E146" s="27" t="s">
        <v>291</v>
      </c>
      <c r="F146" s="27" t="s">
        <v>292</v>
      </c>
      <c r="G146" s="27" t="s">
        <v>293</v>
      </c>
      <c r="H146" s="107" t="s">
        <v>294</v>
      </c>
      <c r="I146" s="107"/>
      <c r="J146" s="27" t="s">
        <v>295</v>
      </c>
      <c r="K146" s="27" t="s">
        <v>296</v>
      </c>
      <c r="L146" s="27" t="s">
        <v>297</v>
      </c>
    </row>
    <row r="147" spans="1:12" s="25" customFormat="1" x14ac:dyDescent="0.25">
      <c r="A147" s="4">
        <v>7</v>
      </c>
      <c r="B147" s="5" t="s">
        <v>298</v>
      </c>
      <c r="C147" s="9">
        <v>0.3735</v>
      </c>
      <c r="D147" s="9" t="s">
        <v>299</v>
      </c>
      <c r="E147" s="9" t="s">
        <v>300</v>
      </c>
      <c r="F147" s="9" t="s">
        <v>301</v>
      </c>
      <c r="G147" s="9" t="s">
        <v>302</v>
      </c>
      <c r="H147" s="104">
        <f t="shared" ref="H147:H155" si="22">C147*D147*10</f>
        <v>17.965349999999997</v>
      </c>
      <c r="I147" s="105"/>
      <c r="J147" s="26">
        <f t="shared" ref="J147:J155" si="23">C147*E147*10</f>
        <v>28.124549999999999</v>
      </c>
      <c r="K147" s="26">
        <f t="shared" ref="K147:K155" si="24">C147*F147*10</f>
        <v>133.82505</v>
      </c>
      <c r="L147" s="26">
        <f t="shared" ref="L147:L155" si="25">C147*G147*10</f>
        <v>809.59859999999992</v>
      </c>
    </row>
    <row r="148" spans="1:12" s="25" customFormat="1" x14ac:dyDescent="0.25">
      <c r="A148" s="4">
        <v>9</v>
      </c>
      <c r="B148" s="5" t="s">
        <v>303</v>
      </c>
      <c r="C148" s="27">
        <v>0.3997</v>
      </c>
      <c r="D148" s="27" t="s">
        <v>38</v>
      </c>
      <c r="E148" s="27" t="s">
        <v>304</v>
      </c>
      <c r="F148" s="27" t="s">
        <v>305</v>
      </c>
      <c r="G148" s="27" t="s">
        <v>306</v>
      </c>
      <c r="H148" s="106">
        <f t="shared" si="22"/>
        <v>27.219569999999997</v>
      </c>
      <c r="I148" s="106"/>
      <c r="J148" s="28">
        <f t="shared" si="23"/>
        <v>31.376449999999998</v>
      </c>
      <c r="K148" s="28">
        <f t="shared" si="24"/>
        <v>124.34666999999999</v>
      </c>
      <c r="L148" s="28">
        <f t="shared" si="25"/>
        <v>867.78867000000002</v>
      </c>
    </row>
    <row r="149" spans="1:12" s="25" customFormat="1" x14ac:dyDescent="0.25">
      <c r="A149" s="4">
        <v>10</v>
      </c>
      <c r="B149" s="5" t="s">
        <v>307</v>
      </c>
      <c r="C149" s="27">
        <v>0.50470000000000004</v>
      </c>
      <c r="D149" s="27" t="s">
        <v>308</v>
      </c>
      <c r="E149" s="27" t="s">
        <v>309</v>
      </c>
      <c r="F149" s="27" t="s">
        <v>310</v>
      </c>
      <c r="G149" s="27" t="s">
        <v>311</v>
      </c>
      <c r="H149" s="106">
        <f t="shared" si="22"/>
        <v>31.291400000000003</v>
      </c>
      <c r="I149" s="106"/>
      <c r="J149" s="28">
        <f t="shared" si="23"/>
        <v>49.864360000000012</v>
      </c>
      <c r="K149" s="28">
        <f t="shared" si="24"/>
        <v>129.80884</v>
      </c>
      <c r="L149" s="28">
        <f t="shared" si="25"/>
        <v>1000.3658700000001</v>
      </c>
    </row>
    <row r="150" spans="1:12" s="25" customFormat="1" x14ac:dyDescent="0.25">
      <c r="A150" s="4">
        <v>11</v>
      </c>
      <c r="B150" s="5" t="s">
        <v>312</v>
      </c>
      <c r="C150" s="27">
        <v>0.46610000000000001</v>
      </c>
      <c r="D150" s="27" t="s">
        <v>138</v>
      </c>
      <c r="E150" s="27" t="s">
        <v>313</v>
      </c>
      <c r="F150" s="27" t="s">
        <v>314</v>
      </c>
      <c r="G150" s="27" t="s">
        <v>315</v>
      </c>
      <c r="H150" s="106">
        <f t="shared" si="22"/>
        <v>27.593119999999999</v>
      </c>
      <c r="I150" s="106"/>
      <c r="J150" s="28">
        <f t="shared" si="23"/>
        <v>45.49136</v>
      </c>
      <c r="K150" s="28">
        <f t="shared" si="24"/>
        <v>127.15208000000001</v>
      </c>
      <c r="L150" s="28">
        <f t="shared" si="25"/>
        <v>939.09828000000005</v>
      </c>
    </row>
    <row r="151" spans="1:12" s="25" customFormat="1" x14ac:dyDescent="0.25">
      <c r="A151" s="4">
        <v>12</v>
      </c>
      <c r="B151" s="5" t="s">
        <v>316</v>
      </c>
      <c r="C151" s="27">
        <v>0.43490000000000001</v>
      </c>
      <c r="D151" s="27" t="s">
        <v>317</v>
      </c>
      <c r="E151" s="27" t="s">
        <v>318</v>
      </c>
      <c r="F151" s="27" t="s">
        <v>319</v>
      </c>
      <c r="G151" s="27" t="s">
        <v>320</v>
      </c>
      <c r="H151" s="106">
        <f t="shared" si="22"/>
        <v>51.274709999999999</v>
      </c>
      <c r="I151" s="106"/>
      <c r="J151" s="28">
        <f t="shared" si="23"/>
        <v>35.444350000000007</v>
      </c>
      <c r="K151" s="28">
        <f t="shared" si="24"/>
        <v>144.03887999999998</v>
      </c>
      <c r="L151" s="28">
        <f t="shared" si="25"/>
        <v>1179.5357800000002</v>
      </c>
    </row>
    <row r="152" spans="1:12" s="25" customFormat="1" x14ac:dyDescent="0.25">
      <c r="A152" s="4">
        <v>13</v>
      </c>
      <c r="B152" s="5" t="s">
        <v>321</v>
      </c>
      <c r="C152" s="27">
        <v>0.51839999999999997</v>
      </c>
      <c r="D152" s="27" t="s">
        <v>322</v>
      </c>
      <c r="E152" s="27" t="s">
        <v>323</v>
      </c>
      <c r="F152" s="27" t="s">
        <v>324</v>
      </c>
      <c r="G152" s="27" t="s">
        <v>325</v>
      </c>
      <c r="H152" s="106">
        <f t="shared" si="22"/>
        <v>34.421759999999992</v>
      </c>
      <c r="I152" s="106"/>
      <c r="J152" s="28">
        <f t="shared" si="23"/>
        <v>35.976959999999998</v>
      </c>
      <c r="K152" s="28">
        <f t="shared" si="24"/>
        <v>119.38751999999999</v>
      </c>
      <c r="L152" s="28">
        <f t="shared" si="25"/>
        <v>882.62783999999999</v>
      </c>
    </row>
    <row r="153" spans="1:12" s="25" customFormat="1" x14ac:dyDescent="0.25">
      <c r="A153" s="4">
        <v>14</v>
      </c>
      <c r="B153" s="5" t="s">
        <v>326</v>
      </c>
      <c r="C153" s="27">
        <v>0.51100000000000001</v>
      </c>
      <c r="D153" s="27" t="s">
        <v>327</v>
      </c>
      <c r="E153" s="27" t="s">
        <v>328</v>
      </c>
      <c r="F153" s="27" t="s">
        <v>329</v>
      </c>
      <c r="G153" s="27" t="s">
        <v>330</v>
      </c>
      <c r="H153" s="106">
        <f t="shared" si="22"/>
        <v>54.677</v>
      </c>
      <c r="I153" s="106"/>
      <c r="J153" s="28">
        <f t="shared" si="23"/>
        <v>51.202199999999998</v>
      </c>
      <c r="K153" s="28">
        <f t="shared" si="24"/>
        <v>116.2525</v>
      </c>
      <c r="L153" s="28">
        <f t="shared" si="25"/>
        <v>1188.8415</v>
      </c>
    </row>
    <row r="154" spans="1:12" s="25" customFormat="1" ht="22.5" x14ac:dyDescent="0.25">
      <c r="A154" s="4">
        <v>15</v>
      </c>
      <c r="B154" s="5" t="s">
        <v>331</v>
      </c>
      <c r="C154" s="27">
        <v>0.439</v>
      </c>
      <c r="D154" s="27" t="s">
        <v>332</v>
      </c>
      <c r="E154" s="27" t="s">
        <v>333</v>
      </c>
      <c r="F154" s="27" t="s">
        <v>334</v>
      </c>
      <c r="G154" s="27" t="s">
        <v>335</v>
      </c>
      <c r="H154" s="106">
        <f t="shared" si="22"/>
        <v>30.291</v>
      </c>
      <c r="I154" s="106"/>
      <c r="J154" s="28">
        <f t="shared" si="23"/>
        <v>47.0608</v>
      </c>
      <c r="K154" s="28">
        <f t="shared" si="24"/>
        <v>133.93890000000002</v>
      </c>
      <c r="L154" s="28">
        <f t="shared" si="25"/>
        <v>996.7056</v>
      </c>
    </row>
    <row r="155" spans="1:12" s="25" customFormat="1" x14ac:dyDescent="0.25">
      <c r="A155" s="4">
        <v>16</v>
      </c>
      <c r="B155" s="5" t="s">
        <v>336</v>
      </c>
      <c r="C155" s="27">
        <v>0.49609999999999999</v>
      </c>
      <c r="D155" s="27" t="s">
        <v>337</v>
      </c>
      <c r="E155" s="27" t="s">
        <v>338</v>
      </c>
      <c r="F155" s="27" t="s">
        <v>339</v>
      </c>
      <c r="G155" s="27" t="s">
        <v>340</v>
      </c>
      <c r="H155" s="106">
        <f t="shared" si="22"/>
        <v>28.476140000000001</v>
      </c>
      <c r="I155" s="106"/>
      <c r="J155" s="28">
        <f t="shared" si="23"/>
        <v>49.659610000000001</v>
      </c>
      <c r="K155" s="28">
        <f t="shared" si="24"/>
        <v>137.51892000000001</v>
      </c>
      <c r="L155" s="28">
        <f t="shared" si="25"/>
        <v>1004.85055</v>
      </c>
    </row>
    <row r="156" spans="1:12" s="25" customFormat="1" ht="33.75" x14ac:dyDescent="0.25">
      <c r="A156" s="49">
        <v>17</v>
      </c>
      <c r="B156" s="50" t="s">
        <v>341</v>
      </c>
      <c r="C156" s="51">
        <v>0.38100000000000001</v>
      </c>
      <c r="D156" s="37">
        <v>9</v>
      </c>
      <c r="E156" s="37">
        <v>8</v>
      </c>
      <c r="F156" s="37">
        <v>25</v>
      </c>
      <c r="G156" s="37">
        <v>206</v>
      </c>
      <c r="H156" s="152">
        <f>D156*C156*10</f>
        <v>34.290000000000006</v>
      </c>
      <c r="I156" s="152"/>
      <c r="J156" s="37">
        <f t="shared" ref="J156:J179" si="26">E156*C156*10</f>
        <v>30.48</v>
      </c>
      <c r="K156" s="37">
        <f t="shared" ref="K156:K179" si="27">F156*C156*10</f>
        <v>95.25</v>
      </c>
      <c r="L156" s="37">
        <f t="shared" ref="L156:L179" si="28">G156*C156*10</f>
        <v>784.86</v>
      </c>
    </row>
    <row r="157" spans="1:12" s="25" customFormat="1" ht="22.5" x14ac:dyDescent="0.25">
      <c r="A157" s="10">
        <v>18</v>
      </c>
      <c r="B157" s="11" t="s">
        <v>342</v>
      </c>
      <c r="C157" s="39">
        <v>0.47520000000000001</v>
      </c>
      <c r="D157" s="52">
        <v>13</v>
      </c>
      <c r="E157" s="39">
        <v>6</v>
      </c>
      <c r="F157" s="39">
        <v>21</v>
      </c>
      <c r="G157" s="39">
        <v>230</v>
      </c>
      <c r="H157" s="147">
        <f>D157*C157*10</f>
        <v>61.775999999999996</v>
      </c>
      <c r="I157" s="147"/>
      <c r="J157" s="39">
        <f t="shared" si="26"/>
        <v>28.512</v>
      </c>
      <c r="K157" s="39">
        <f t="shared" si="27"/>
        <v>99.792000000000002</v>
      </c>
      <c r="L157" s="39">
        <f t="shared" si="28"/>
        <v>1092.96</v>
      </c>
    </row>
    <row r="158" spans="1:12" s="25" customFormat="1" ht="22.5" x14ac:dyDescent="0.25">
      <c r="A158" s="10">
        <v>19</v>
      </c>
      <c r="B158" s="11" t="s">
        <v>343</v>
      </c>
      <c r="C158" s="39">
        <v>0.47699999999999998</v>
      </c>
      <c r="D158" s="52">
        <v>0</v>
      </c>
      <c r="E158" s="39">
        <v>4</v>
      </c>
      <c r="F158" s="39">
        <v>35</v>
      </c>
      <c r="G158" s="39">
        <v>158</v>
      </c>
      <c r="H158" s="147">
        <v>0</v>
      </c>
      <c r="I158" s="147"/>
      <c r="J158" s="39">
        <f t="shared" si="26"/>
        <v>19.079999999999998</v>
      </c>
      <c r="K158" s="39">
        <f t="shared" si="27"/>
        <v>166.95</v>
      </c>
      <c r="L158" s="39">
        <f t="shared" si="28"/>
        <v>753.66</v>
      </c>
    </row>
    <row r="159" spans="1:12" s="25" customFormat="1" x14ac:dyDescent="0.25">
      <c r="A159" s="15">
        <v>20</v>
      </c>
      <c r="B159" s="16" t="s">
        <v>344</v>
      </c>
      <c r="C159" s="29">
        <v>0.36890000000000001</v>
      </c>
      <c r="D159" s="31">
        <v>7</v>
      </c>
      <c r="E159" s="31">
        <v>6</v>
      </c>
      <c r="F159" s="31">
        <v>31</v>
      </c>
      <c r="G159" s="31">
        <v>206</v>
      </c>
      <c r="H159" s="143">
        <f t="shared" ref="H159:H179" si="29">D159*C159*10</f>
        <v>25.823</v>
      </c>
      <c r="I159" s="144"/>
      <c r="J159" s="53">
        <f t="shared" si="26"/>
        <v>22.134</v>
      </c>
      <c r="K159" s="53">
        <f t="shared" si="27"/>
        <v>114.35900000000001</v>
      </c>
      <c r="L159" s="53">
        <f t="shared" si="28"/>
        <v>759.93400000000008</v>
      </c>
    </row>
    <row r="160" spans="1:12" s="25" customFormat="1" ht="22.5" x14ac:dyDescent="0.25">
      <c r="A160" s="15">
        <v>21</v>
      </c>
      <c r="B160" s="16" t="s">
        <v>345</v>
      </c>
      <c r="C160" s="29">
        <v>0.498</v>
      </c>
      <c r="D160" s="31">
        <v>3</v>
      </c>
      <c r="E160" s="31">
        <v>8</v>
      </c>
      <c r="F160" s="31">
        <v>20</v>
      </c>
      <c r="G160" s="31">
        <v>142</v>
      </c>
      <c r="H160" s="145">
        <f t="shared" si="29"/>
        <v>14.94</v>
      </c>
      <c r="I160" s="146"/>
      <c r="J160" s="31">
        <f t="shared" si="26"/>
        <v>39.840000000000003</v>
      </c>
      <c r="K160" s="31">
        <f t="shared" si="27"/>
        <v>99.600000000000009</v>
      </c>
      <c r="L160" s="31">
        <f t="shared" si="28"/>
        <v>707.16</v>
      </c>
    </row>
    <row r="161" spans="1:12" s="25" customFormat="1" x14ac:dyDescent="0.25">
      <c r="A161" s="15">
        <v>22</v>
      </c>
      <c r="B161" s="16" t="s">
        <v>346</v>
      </c>
      <c r="C161" s="29">
        <v>0.307</v>
      </c>
      <c r="D161" s="31">
        <v>11</v>
      </c>
      <c r="E161" s="31">
        <v>5</v>
      </c>
      <c r="F161" s="31">
        <v>21</v>
      </c>
      <c r="G161" s="31">
        <v>206</v>
      </c>
      <c r="H161" s="145">
        <f t="shared" ref="H161:H163" si="30">D161*C161*10</f>
        <v>33.769999999999996</v>
      </c>
      <c r="I161" s="146"/>
      <c r="J161" s="31">
        <f t="shared" ref="J161:J167" si="31">E161*C161*10</f>
        <v>15.35</v>
      </c>
      <c r="K161" s="31">
        <f t="shared" ref="K161:K167" si="32">F161*C161*10</f>
        <v>64.47</v>
      </c>
      <c r="L161" s="31">
        <f t="shared" ref="L161:L167" si="33">G161*C161*10</f>
        <v>632.41999999999996</v>
      </c>
    </row>
    <row r="162" spans="1:12" s="25" customFormat="1" ht="22.5" x14ac:dyDescent="0.25">
      <c r="A162" s="15">
        <v>23</v>
      </c>
      <c r="B162" s="16" t="s">
        <v>347</v>
      </c>
      <c r="C162" s="29">
        <v>0.24199999999999999</v>
      </c>
      <c r="D162" s="31">
        <v>3</v>
      </c>
      <c r="E162" s="31">
        <v>7</v>
      </c>
      <c r="F162" s="31">
        <v>27</v>
      </c>
      <c r="G162" s="31">
        <v>167</v>
      </c>
      <c r="H162" s="145">
        <f t="shared" si="30"/>
        <v>7.26</v>
      </c>
      <c r="I162" s="146"/>
      <c r="J162" s="31">
        <f t="shared" si="31"/>
        <v>16.939999999999998</v>
      </c>
      <c r="K162" s="31">
        <f t="shared" si="32"/>
        <v>65.34</v>
      </c>
      <c r="L162" s="31">
        <f t="shared" si="33"/>
        <v>404.14</v>
      </c>
    </row>
    <row r="163" spans="1:12" ht="22.5" x14ac:dyDescent="0.25">
      <c r="A163" s="15">
        <v>24</v>
      </c>
      <c r="B163" s="16" t="s">
        <v>348</v>
      </c>
      <c r="C163" s="29">
        <v>0.219</v>
      </c>
      <c r="D163" s="31">
        <v>1</v>
      </c>
      <c r="E163" s="31">
        <v>5</v>
      </c>
      <c r="F163" s="31">
        <v>29</v>
      </c>
      <c r="G163" s="31">
        <v>148</v>
      </c>
      <c r="H163" s="145">
        <f t="shared" si="30"/>
        <v>2.19</v>
      </c>
      <c r="I163" s="146"/>
      <c r="J163" s="31">
        <f t="shared" si="31"/>
        <v>10.95</v>
      </c>
      <c r="K163" s="31">
        <f t="shared" si="32"/>
        <v>63.51</v>
      </c>
      <c r="L163" s="31">
        <f t="shared" si="33"/>
        <v>324.12</v>
      </c>
    </row>
    <row r="164" spans="1:12" s="25" customFormat="1" ht="33.75" x14ac:dyDescent="0.25">
      <c r="A164" s="15">
        <v>25</v>
      </c>
      <c r="B164" s="16" t="s">
        <v>349</v>
      </c>
      <c r="C164" s="29">
        <v>0.23599999999999999</v>
      </c>
      <c r="D164" s="31">
        <v>8</v>
      </c>
      <c r="E164" s="31">
        <v>10</v>
      </c>
      <c r="F164" s="31">
        <v>32</v>
      </c>
      <c r="G164" s="31">
        <v>236</v>
      </c>
      <c r="H164" s="145">
        <f>D164*C164*10</f>
        <v>18.88</v>
      </c>
      <c r="I164" s="146"/>
      <c r="J164" s="31">
        <f t="shared" si="31"/>
        <v>23.599999999999998</v>
      </c>
      <c r="K164" s="31">
        <f t="shared" si="32"/>
        <v>75.52</v>
      </c>
      <c r="L164" s="31">
        <f t="shared" si="33"/>
        <v>556.96</v>
      </c>
    </row>
    <row r="165" spans="1:12" s="25" customFormat="1" ht="22.5" x14ac:dyDescent="0.25">
      <c r="A165" s="15">
        <v>26</v>
      </c>
      <c r="B165" s="16" t="s">
        <v>350</v>
      </c>
      <c r="C165" s="29">
        <v>1.2601</v>
      </c>
      <c r="D165" s="31">
        <v>6</v>
      </c>
      <c r="E165" s="31">
        <v>9</v>
      </c>
      <c r="F165" s="31">
        <v>29</v>
      </c>
      <c r="G165" s="31">
        <v>210</v>
      </c>
      <c r="H165" s="74">
        <f t="shared" ref="H165:H167" si="34">D165*C165*10</f>
        <v>75.605999999999995</v>
      </c>
      <c r="I165" s="75"/>
      <c r="J165" s="30">
        <f t="shared" si="31"/>
        <v>113.40899999999999</v>
      </c>
      <c r="K165" s="30">
        <f t="shared" si="32"/>
        <v>365.42900000000003</v>
      </c>
      <c r="L165" s="30">
        <f t="shared" si="33"/>
        <v>2646.21</v>
      </c>
    </row>
    <row r="166" spans="1:12" s="25" customFormat="1" ht="22.5" x14ac:dyDescent="0.25">
      <c r="A166" s="15">
        <v>27</v>
      </c>
      <c r="B166" s="16" t="s">
        <v>351</v>
      </c>
      <c r="C166" s="29">
        <v>1.2291000000000001</v>
      </c>
      <c r="D166" s="31">
        <v>4</v>
      </c>
      <c r="E166" s="31">
        <v>8</v>
      </c>
      <c r="F166" s="31">
        <v>28</v>
      </c>
      <c r="G166" s="31">
        <v>178</v>
      </c>
      <c r="H166" s="74">
        <f t="shared" si="34"/>
        <v>49.164000000000001</v>
      </c>
      <c r="I166" s="75"/>
      <c r="J166" s="30">
        <f t="shared" si="31"/>
        <v>98.328000000000003</v>
      </c>
      <c r="K166" s="30">
        <f t="shared" si="32"/>
        <v>344.14800000000002</v>
      </c>
      <c r="L166" s="30">
        <f t="shared" si="33"/>
        <v>2187.7980000000002</v>
      </c>
    </row>
    <row r="167" spans="1:12" s="25" customFormat="1" ht="22.5" x14ac:dyDescent="0.25">
      <c r="A167" s="15">
        <v>28</v>
      </c>
      <c r="B167" s="16" t="s">
        <v>352</v>
      </c>
      <c r="C167" s="29">
        <v>1.1625000000000001</v>
      </c>
      <c r="D167" s="31">
        <v>7</v>
      </c>
      <c r="E167" s="31">
        <v>6</v>
      </c>
      <c r="F167" s="31">
        <v>27</v>
      </c>
      <c r="G167" s="31">
        <v>189</v>
      </c>
      <c r="H167" s="74">
        <f t="shared" si="34"/>
        <v>81.375000000000014</v>
      </c>
      <c r="I167" s="75"/>
      <c r="J167" s="30">
        <f t="shared" si="31"/>
        <v>69.75</v>
      </c>
      <c r="K167" s="30">
        <f t="shared" si="32"/>
        <v>313.875</v>
      </c>
      <c r="L167" s="30">
        <f t="shared" si="33"/>
        <v>2197.125</v>
      </c>
    </row>
    <row r="168" spans="1:12" s="25" customFormat="1" ht="22.5" x14ac:dyDescent="0.25">
      <c r="A168" s="15">
        <v>29</v>
      </c>
      <c r="B168" s="16" t="s">
        <v>545</v>
      </c>
      <c r="C168" s="29">
        <v>0.40100000000000002</v>
      </c>
      <c r="D168" s="31">
        <v>1.5</v>
      </c>
      <c r="E168" s="31">
        <v>3.5</v>
      </c>
      <c r="F168" s="31">
        <v>25</v>
      </c>
      <c r="G168" s="31">
        <v>130</v>
      </c>
      <c r="H168" s="145">
        <f t="shared" si="29"/>
        <v>6.0150000000000006</v>
      </c>
      <c r="I168" s="146"/>
      <c r="J168" s="31">
        <f t="shared" si="26"/>
        <v>14.035000000000002</v>
      </c>
      <c r="K168" s="31">
        <f t="shared" si="27"/>
        <v>100.25</v>
      </c>
      <c r="L168" s="31">
        <f t="shared" si="28"/>
        <v>521.30000000000007</v>
      </c>
    </row>
    <row r="169" spans="1:12" s="25" customFormat="1" ht="22.5" x14ac:dyDescent="0.25">
      <c r="A169" s="15">
        <v>30</v>
      </c>
      <c r="B169" s="16" t="s">
        <v>546</v>
      </c>
      <c r="C169" s="29">
        <v>0.47</v>
      </c>
      <c r="D169" s="31">
        <v>0.5</v>
      </c>
      <c r="E169" s="31">
        <v>3.5</v>
      </c>
      <c r="F169" s="31">
        <v>21</v>
      </c>
      <c r="G169" s="31">
        <v>100</v>
      </c>
      <c r="H169" s="145">
        <f t="shared" si="29"/>
        <v>2.3499999999999996</v>
      </c>
      <c r="I169" s="146"/>
      <c r="J169" s="31">
        <f t="shared" si="26"/>
        <v>16.45</v>
      </c>
      <c r="K169" s="31">
        <f t="shared" si="27"/>
        <v>98.699999999999989</v>
      </c>
      <c r="L169" s="31">
        <f t="shared" si="28"/>
        <v>470</v>
      </c>
    </row>
    <row r="170" spans="1:12" x14ac:dyDescent="0.25">
      <c r="A170" s="15">
        <v>31</v>
      </c>
      <c r="B170" s="16" t="s">
        <v>547</v>
      </c>
      <c r="C170" s="29">
        <v>0.217</v>
      </c>
      <c r="D170" s="31">
        <v>0.5</v>
      </c>
      <c r="E170" s="31">
        <v>4.5</v>
      </c>
      <c r="F170" s="31">
        <v>29</v>
      </c>
      <c r="G170" s="31">
        <v>140</v>
      </c>
      <c r="H170" s="145">
        <f t="shared" si="29"/>
        <v>1.085</v>
      </c>
      <c r="I170" s="146"/>
      <c r="J170" s="31">
        <f t="shared" si="26"/>
        <v>9.7650000000000006</v>
      </c>
      <c r="K170" s="31">
        <f t="shared" si="27"/>
        <v>62.93</v>
      </c>
      <c r="L170" s="31">
        <f t="shared" si="28"/>
        <v>303.8</v>
      </c>
    </row>
    <row r="171" spans="1:12" s="25" customFormat="1" x14ac:dyDescent="0.25">
      <c r="A171" s="15">
        <v>32</v>
      </c>
      <c r="B171" s="16" t="s">
        <v>548</v>
      </c>
      <c r="C171" s="29">
        <v>0.246</v>
      </c>
      <c r="D171" s="31">
        <v>7</v>
      </c>
      <c r="E171" s="31">
        <v>7</v>
      </c>
      <c r="F171" s="31">
        <v>27</v>
      </c>
      <c r="G171" s="31">
        <v>200</v>
      </c>
      <c r="H171" s="145">
        <f>D171*C171*10</f>
        <v>17.22</v>
      </c>
      <c r="I171" s="146"/>
      <c r="J171" s="31">
        <f t="shared" si="26"/>
        <v>17.22</v>
      </c>
      <c r="K171" s="31">
        <f t="shared" si="27"/>
        <v>66.419999999999987</v>
      </c>
      <c r="L171" s="31">
        <f t="shared" si="28"/>
        <v>492</v>
      </c>
    </row>
    <row r="172" spans="1:12" s="25" customFormat="1" ht="22.5" x14ac:dyDescent="0.25">
      <c r="A172" s="15">
        <v>33</v>
      </c>
      <c r="B172" s="16" t="s">
        <v>549</v>
      </c>
      <c r="C172" s="29">
        <v>0.24299999999999999</v>
      </c>
      <c r="D172" s="31">
        <v>12</v>
      </c>
      <c r="E172" s="31">
        <v>8.5</v>
      </c>
      <c r="F172" s="31">
        <v>26</v>
      </c>
      <c r="G172" s="31">
        <v>250</v>
      </c>
      <c r="H172" s="74">
        <f t="shared" ref="H172" si="35">D172*C172*10</f>
        <v>29.16</v>
      </c>
      <c r="I172" s="75"/>
      <c r="J172" s="30">
        <f t="shared" ref="J172" si="36">E172*C172*10</f>
        <v>20.655000000000001</v>
      </c>
      <c r="K172" s="30">
        <f t="shared" ref="K172" si="37">F172*C172*10</f>
        <v>63.179999999999993</v>
      </c>
      <c r="L172" s="30">
        <f t="shared" ref="L172" si="38">G172*C172*10</f>
        <v>607.5</v>
      </c>
    </row>
    <row r="173" spans="1:12" s="25" customFormat="1" x14ac:dyDescent="0.25">
      <c r="A173" s="15">
        <v>34</v>
      </c>
      <c r="B173" s="16" t="s">
        <v>553</v>
      </c>
      <c r="C173" s="29">
        <v>0.47499999999999998</v>
      </c>
      <c r="D173" s="31">
        <v>8.5</v>
      </c>
      <c r="E173" s="31">
        <v>7</v>
      </c>
      <c r="F173" s="31">
        <v>22</v>
      </c>
      <c r="G173" s="31">
        <v>190</v>
      </c>
      <c r="H173" s="74">
        <f t="shared" si="29"/>
        <v>40.375</v>
      </c>
      <c r="I173" s="75"/>
      <c r="J173" s="30">
        <f t="shared" si="26"/>
        <v>33.25</v>
      </c>
      <c r="K173" s="30">
        <f t="shared" si="27"/>
        <v>104.5</v>
      </c>
      <c r="L173" s="30">
        <f t="shared" si="28"/>
        <v>902.5</v>
      </c>
    </row>
    <row r="174" spans="1:12" s="25" customFormat="1" ht="22.5" x14ac:dyDescent="0.25">
      <c r="A174" s="15">
        <v>35</v>
      </c>
      <c r="B174" s="16" t="s">
        <v>550</v>
      </c>
      <c r="C174" s="29">
        <v>0.32900000000000001</v>
      </c>
      <c r="D174" s="71">
        <v>1.5</v>
      </c>
      <c r="E174" s="71">
        <v>3.5</v>
      </c>
      <c r="F174" s="71">
        <v>22</v>
      </c>
      <c r="G174" s="71">
        <v>110</v>
      </c>
      <c r="H174" s="74">
        <f t="shared" ref="H174:H178" si="39">D174*C174*10</f>
        <v>4.9350000000000005</v>
      </c>
      <c r="I174" s="75"/>
      <c r="J174" s="69">
        <f t="shared" ref="J174:J178" si="40">E174*C174*10</f>
        <v>11.515000000000001</v>
      </c>
      <c r="K174" s="69">
        <f t="shared" ref="K174:K178" si="41">F174*C174*10</f>
        <v>72.38000000000001</v>
      </c>
      <c r="L174" s="69">
        <f t="shared" ref="L174:L178" si="42">G174*C174*10</f>
        <v>361.90000000000003</v>
      </c>
    </row>
    <row r="175" spans="1:12" s="25" customFormat="1" ht="33.75" x14ac:dyDescent="0.25">
      <c r="A175" s="15">
        <v>36</v>
      </c>
      <c r="B175" s="16" t="s">
        <v>566</v>
      </c>
      <c r="C175" s="29">
        <v>0.30599999999999999</v>
      </c>
      <c r="D175" s="71">
        <v>1.5</v>
      </c>
      <c r="E175" s="71">
        <v>3.5</v>
      </c>
      <c r="F175" s="71">
        <v>23</v>
      </c>
      <c r="G175" s="71">
        <v>120</v>
      </c>
      <c r="H175" s="74">
        <f t="shared" si="39"/>
        <v>4.59</v>
      </c>
      <c r="I175" s="75"/>
      <c r="J175" s="69">
        <f t="shared" si="40"/>
        <v>10.709999999999999</v>
      </c>
      <c r="K175" s="69">
        <f t="shared" si="41"/>
        <v>70.38</v>
      </c>
      <c r="L175" s="69">
        <f t="shared" si="42"/>
        <v>367.2</v>
      </c>
    </row>
    <row r="176" spans="1:12" s="25" customFormat="1" ht="33.75" x14ac:dyDescent="0.25">
      <c r="A176" s="15">
        <v>37</v>
      </c>
      <c r="B176" s="16" t="s">
        <v>567</v>
      </c>
      <c r="C176" s="29">
        <v>0.307</v>
      </c>
      <c r="D176" s="71">
        <v>3</v>
      </c>
      <c r="E176" s="71">
        <v>5</v>
      </c>
      <c r="F176" s="71">
        <v>23</v>
      </c>
      <c r="G176" s="71">
        <v>130</v>
      </c>
      <c r="H176" s="74">
        <f t="shared" si="39"/>
        <v>9.2100000000000009</v>
      </c>
      <c r="I176" s="75"/>
      <c r="J176" s="69">
        <f t="shared" si="40"/>
        <v>15.35</v>
      </c>
      <c r="K176" s="69">
        <f t="shared" si="41"/>
        <v>70.61</v>
      </c>
      <c r="L176" s="69">
        <f t="shared" si="42"/>
        <v>399.09999999999997</v>
      </c>
    </row>
    <row r="177" spans="1:12" s="25" customFormat="1" ht="33.75" x14ac:dyDescent="0.25">
      <c r="A177" s="15">
        <v>38</v>
      </c>
      <c r="B177" s="16" t="s">
        <v>568</v>
      </c>
      <c r="C177" s="29">
        <v>0.27</v>
      </c>
      <c r="D177" s="71">
        <v>6.5</v>
      </c>
      <c r="E177" s="71">
        <v>7.5</v>
      </c>
      <c r="F177" s="71">
        <v>26</v>
      </c>
      <c r="G177" s="71">
        <v>190</v>
      </c>
      <c r="H177" s="74">
        <f t="shared" si="39"/>
        <v>17.55</v>
      </c>
      <c r="I177" s="75"/>
      <c r="J177" s="69">
        <f t="shared" si="40"/>
        <v>20.250000000000004</v>
      </c>
      <c r="K177" s="69">
        <f t="shared" si="41"/>
        <v>70.2</v>
      </c>
      <c r="L177" s="69">
        <f t="shared" si="42"/>
        <v>513</v>
      </c>
    </row>
    <row r="178" spans="1:12" s="25" customFormat="1" ht="33.75" x14ac:dyDescent="0.25">
      <c r="A178" s="15">
        <v>39</v>
      </c>
      <c r="B178" s="16" t="s">
        <v>569</v>
      </c>
      <c r="C178" s="29">
        <v>0.34699999999999998</v>
      </c>
      <c r="D178" s="71">
        <v>9</v>
      </c>
      <c r="E178" s="71">
        <v>8.5</v>
      </c>
      <c r="F178" s="71">
        <v>19</v>
      </c>
      <c r="G178" s="71">
        <v>190</v>
      </c>
      <c r="H178" s="74">
        <f t="shared" si="39"/>
        <v>31.229999999999997</v>
      </c>
      <c r="I178" s="75"/>
      <c r="J178" s="69">
        <f t="shared" si="40"/>
        <v>29.494999999999997</v>
      </c>
      <c r="K178" s="69">
        <f t="shared" si="41"/>
        <v>65.930000000000007</v>
      </c>
      <c r="L178" s="69">
        <f t="shared" si="42"/>
        <v>659.3</v>
      </c>
    </row>
    <row r="179" spans="1:12" s="25" customFormat="1" x14ac:dyDescent="0.25">
      <c r="A179" s="15">
        <v>40</v>
      </c>
      <c r="B179" s="16" t="s">
        <v>570</v>
      </c>
      <c r="C179" s="29">
        <v>0.35499999999999998</v>
      </c>
      <c r="D179" s="31">
        <v>5</v>
      </c>
      <c r="E179" s="31">
        <v>6.5</v>
      </c>
      <c r="F179" s="31">
        <v>17</v>
      </c>
      <c r="G179" s="31">
        <v>140</v>
      </c>
      <c r="H179" s="74">
        <f t="shared" si="29"/>
        <v>17.75</v>
      </c>
      <c r="I179" s="75"/>
      <c r="J179" s="30">
        <f t="shared" si="26"/>
        <v>23.075000000000003</v>
      </c>
      <c r="K179" s="30">
        <f t="shared" si="27"/>
        <v>60.35</v>
      </c>
      <c r="L179" s="30">
        <f t="shared" si="28"/>
        <v>496.99999999999994</v>
      </c>
    </row>
    <row r="180" spans="1:12" s="25" customFormat="1" ht="19.5" thickBot="1" x14ac:dyDescent="0.35">
      <c r="A180" s="135" t="s">
        <v>353</v>
      </c>
      <c r="B180" s="135"/>
      <c r="C180" s="135"/>
      <c r="D180" s="135"/>
      <c r="E180" s="135"/>
      <c r="F180" s="135"/>
      <c r="G180" s="135"/>
      <c r="H180" s="135"/>
      <c r="I180" s="135"/>
      <c r="J180" s="135"/>
      <c r="K180" s="135"/>
      <c r="L180" s="136"/>
    </row>
    <row r="181" spans="1:12" s="25" customFormat="1" x14ac:dyDescent="0.25">
      <c r="A181" s="22" t="s">
        <v>77</v>
      </c>
      <c r="B181" s="23" t="s">
        <v>354</v>
      </c>
      <c r="C181" s="54" t="s">
        <v>355</v>
      </c>
      <c r="D181" s="54" t="s">
        <v>356</v>
      </c>
      <c r="E181" s="54" t="s">
        <v>357</v>
      </c>
      <c r="F181" s="54" t="s">
        <v>358</v>
      </c>
      <c r="G181" s="54" t="s">
        <v>359</v>
      </c>
      <c r="H181" s="137" t="s">
        <v>360</v>
      </c>
      <c r="I181" s="138"/>
      <c r="J181" s="54" t="s">
        <v>361</v>
      </c>
      <c r="K181" s="54" t="s">
        <v>362</v>
      </c>
      <c r="L181" s="54" t="s">
        <v>363</v>
      </c>
    </row>
    <row r="182" spans="1:12" s="25" customFormat="1" x14ac:dyDescent="0.25">
      <c r="A182" s="4" t="s">
        <v>364</v>
      </c>
      <c r="B182" s="5" t="s">
        <v>365</v>
      </c>
      <c r="C182" s="9" t="s">
        <v>355</v>
      </c>
      <c r="D182" s="9" t="s">
        <v>366</v>
      </c>
      <c r="E182" s="9" t="s">
        <v>367</v>
      </c>
      <c r="F182" s="9" t="s">
        <v>368</v>
      </c>
      <c r="G182" s="9" t="s">
        <v>369</v>
      </c>
      <c r="H182" s="94" t="s">
        <v>370</v>
      </c>
      <c r="I182" s="95"/>
      <c r="J182" s="9" t="s">
        <v>371</v>
      </c>
      <c r="K182" s="9" t="s">
        <v>368</v>
      </c>
      <c r="L182" s="9" t="s">
        <v>372</v>
      </c>
    </row>
    <row r="183" spans="1:12" s="25" customFormat="1" x14ac:dyDescent="0.25">
      <c r="A183" s="4" t="s">
        <v>271</v>
      </c>
      <c r="B183" s="5" t="s">
        <v>373</v>
      </c>
      <c r="C183" s="9" t="s">
        <v>355</v>
      </c>
      <c r="D183" s="9" t="s">
        <v>374</v>
      </c>
      <c r="E183" s="9" t="s">
        <v>375</v>
      </c>
      <c r="F183" s="9" t="s">
        <v>376</v>
      </c>
      <c r="G183" s="9" t="s">
        <v>377</v>
      </c>
      <c r="H183" s="94" t="s">
        <v>378</v>
      </c>
      <c r="I183" s="95"/>
      <c r="J183" s="9" t="s">
        <v>379</v>
      </c>
      <c r="K183" s="9" t="s">
        <v>380</v>
      </c>
      <c r="L183" s="9" t="s">
        <v>381</v>
      </c>
    </row>
    <row r="184" spans="1:12" s="25" customFormat="1" x14ac:dyDescent="0.25">
      <c r="A184" s="4" t="s">
        <v>382</v>
      </c>
      <c r="B184" s="5" t="s">
        <v>383</v>
      </c>
      <c r="C184" s="9" t="s">
        <v>384</v>
      </c>
      <c r="D184" s="9" t="s">
        <v>385</v>
      </c>
      <c r="E184" s="9" t="s">
        <v>386</v>
      </c>
      <c r="F184" s="9" t="s">
        <v>387</v>
      </c>
      <c r="G184" s="9" t="s">
        <v>388</v>
      </c>
      <c r="H184" s="94" t="s">
        <v>389</v>
      </c>
      <c r="I184" s="95"/>
      <c r="J184" s="9" t="s">
        <v>390</v>
      </c>
      <c r="K184" s="9" t="s">
        <v>391</v>
      </c>
      <c r="L184" s="9" t="s">
        <v>392</v>
      </c>
    </row>
    <row r="185" spans="1:12" x14ac:dyDescent="0.25">
      <c r="A185" s="4" t="s">
        <v>393</v>
      </c>
      <c r="B185" s="5" t="s">
        <v>394</v>
      </c>
      <c r="C185" s="9" t="s">
        <v>355</v>
      </c>
      <c r="D185" s="9" t="s">
        <v>395</v>
      </c>
      <c r="E185" s="9" t="s">
        <v>396</v>
      </c>
      <c r="F185" s="9" t="s">
        <v>368</v>
      </c>
      <c r="G185" s="9" t="s">
        <v>397</v>
      </c>
      <c r="H185" s="94" t="s">
        <v>398</v>
      </c>
      <c r="I185" s="95"/>
      <c r="J185" s="9" t="s">
        <v>266</v>
      </c>
      <c r="K185" s="9" t="s">
        <v>368</v>
      </c>
      <c r="L185" s="9" t="s">
        <v>399</v>
      </c>
    </row>
    <row r="186" spans="1:12" x14ac:dyDescent="0.25">
      <c r="A186" s="4" t="s">
        <v>400</v>
      </c>
      <c r="B186" s="5" t="s">
        <v>401</v>
      </c>
      <c r="C186" s="9" t="s">
        <v>384</v>
      </c>
      <c r="D186" s="9" t="s">
        <v>402</v>
      </c>
      <c r="E186" s="9" t="s">
        <v>403</v>
      </c>
      <c r="F186" s="9" t="s">
        <v>368</v>
      </c>
      <c r="G186" s="9" t="s">
        <v>404</v>
      </c>
      <c r="H186" s="94" t="s">
        <v>405</v>
      </c>
      <c r="I186" s="95"/>
      <c r="J186" s="9" t="s">
        <v>406</v>
      </c>
      <c r="K186" s="9" t="s">
        <v>368</v>
      </c>
      <c r="L186" s="9" t="s">
        <v>407</v>
      </c>
    </row>
    <row r="187" spans="1:12" ht="15.75" thickBot="1" x14ac:dyDescent="0.3">
      <c r="A187" s="4" t="s">
        <v>408</v>
      </c>
      <c r="B187" s="5" t="s">
        <v>409</v>
      </c>
      <c r="C187" s="9" t="s">
        <v>384</v>
      </c>
      <c r="D187" s="9" t="s">
        <v>410</v>
      </c>
      <c r="E187" s="9" t="s">
        <v>411</v>
      </c>
      <c r="F187" s="9" t="s">
        <v>412</v>
      </c>
      <c r="G187" s="9" t="s">
        <v>413</v>
      </c>
      <c r="H187" s="141" t="s">
        <v>414</v>
      </c>
      <c r="I187" s="142"/>
      <c r="J187" s="9" t="s">
        <v>415</v>
      </c>
      <c r="K187" s="9" t="s">
        <v>416</v>
      </c>
      <c r="L187" s="9" t="s">
        <v>417</v>
      </c>
    </row>
    <row r="188" spans="1:12" ht="15.75" thickBot="1" x14ac:dyDescent="0.3">
      <c r="A188" s="4">
        <v>10</v>
      </c>
      <c r="B188" s="5" t="s">
        <v>418</v>
      </c>
      <c r="C188" s="54">
        <v>2.4899999999999999E-2</v>
      </c>
      <c r="D188" s="24">
        <v>1</v>
      </c>
      <c r="E188" s="24">
        <v>20</v>
      </c>
      <c r="F188" s="24">
        <v>0</v>
      </c>
      <c r="G188" s="24">
        <v>86</v>
      </c>
      <c r="H188" s="139">
        <f>D188*C188*10</f>
        <v>0.249</v>
      </c>
      <c r="I188" s="140"/>
      <c r="J188" s="24">
        <f>E188*C188*10</f>
        <v>4.9800000000000004</v>
      </c>
      <c r="K188" s="24">
        <f>F188*C188*10</f>
        <v>0</v>
      </c>
      <c r="L188" s="24">
        <f>G188*C188*10</f>
        <v>21.414000000000001</v>
      </c>
    </row>
    <row r="189" spans="1:12" x14ac:dyDescent="0.25">
      <c r="A189" s="4">
        <v>11</v>
      </c>
      <c r="B189" s="5" t="s">
        <v>419</v>
      </c>
      <c r="C189" s="54">
        <v>0.05</v>
      </c>
      <c r="D189" s="24">
        <v>1</v>
      </c>
      <c r="E189" s="24">
        <v>1</v>
      </c>
      <c r="F189" s="24">
        <v>3</v>
      </c>
      <c r="G189" s="24">
        <v>29</v>
      </c>
      <c r="H189" s="139">
        <f>D189*C189*10</f>
        <v>0.5</v>
      </c>
      <c r="I189" s="140"/>
      <c r="J189" s="24">
        <f>E189*C189*10</f>
        <v>0.5</v>
      </c>
      <c r="K189" s="24">
        <f>F189*C189*10</f>
        <v>1.5000000000000002</v>
      </c>
      <c r="L189" s="24">
        <f>G189*C189*10</f>
        <v>14.500000000000002</v>
      </c>
    </row>
    <row r="190" spans="1:12" ht="18.75" x14ac:dyDescent="0.3">
      <c r="A190" s="151" t="s">
        <v>471</v>
      </c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</row>
    <row r="191" spans="1:12" s="25" customFormat="1" x14ac:dyDescent="0.25">
      <c r="A191" s="4">
        <v>1</v>
      </c>
      <c r="B191" s="5" t="s">
        <v>472</v>
      </c>
      <c r="C191" s="41">
        <v>0.62609999999999999</v>
      </c>
      <c r="D191" s="27">
        <v>10</v>
      </c>
      <c r="E191" s="27">
        <v>3</v>
      </c>
      <c r="F191" s="27">
        <v>24</v>
      </c>
      <c r="G191" s="27">
        <v>199</v>
      </c>
      <c r="H191" s="107">
        <f>C191*D191*10</f>
        <v>62.61</v>
      </c>
      <c r="I191" s="107"/>
      <c r="J191" s="28">
        <f>C191*E191*10</f>
        <v>18.782999999999998</v>
      </c>
      <c r="K191" s="28">
        <f>C191*F191*10</f>
        <v>150.26399999999998</v>
      </c>
      <c r="L191" s="28">
        <f>C191*G191*10</f>
        <v>1245.9390000000001</v>
      </c>
    </row>
    <row r="192" spans="1:12" s="25" customFormat="1" x14ac:dyDescent="0.25">
      <c r="A192" s="4">
        <v>2</v>
      </c>
      <c r="B192" s="5" t="s">
        <v>473</v>
      </c>
      <c r="C192" s="27">
        <v>0.29620000000000002</v>
      </c>
      <c r="D192" s="27" t="s">
        <v>474</v>
      </c>
      <c r="E192" s="27" t="s">
        <v>475</v>
      </c>
      <c r="F192" s="27" t="s">
        <v>476</v>
      </c>
      <c r="G192" s="27">
        <v>366</v>
      </c>
      <c r="H192" s="106">
        <f>C192*D192*10</f>
        <v>59.595440000000011</v>
      </c>
      <c r="I192" s="106"/>
      <c r="J192" s="28">
        <f>C192*E192*10</f>
        <v>14.336079999999999</v>
      </c>
      <c r="K192" s="28">
        <f>C192*F192*10</f>
        <v>128.78775999999999</v>
      </c>
      <c r="L192" s="28">
        <f>C192*G192*10</f>
        <v>1084.0920000000001</v>
      </c>
    </row>
    <row r="193" spans="1:12" s="25" customFormat="1" x14ac:dyDescent="0.25">
      <c r="A193" s="4">
        <v>3</v>
      </c>
      <c r="B193" s="5" t="s">
        <v>477</v>
      </c>
      <c r="C193" s="27" t="s">
        <v>478</v>
      </c>
      <c r="D193" s="27" t="s">
        <v>479</v>
      </c>
      <c r="E193" s="27" t="s">
        <v>480</v>
      </c>
      <c r="F193" s="27" t="s">
        <v>481</v>
      </c>
      <c r="G193" s="27" t="s">
        <v>482</v>
      </c>
      <c r="H193" s="107" t="s">
        <v>483</v>
      </c>
      <c r="I193" s="107"/>
      <c r="J193" s="27" t="s">
        <v>484</v>
      </c>
      <c r="K193" s="27" t="s">
        <v>485</v>
      </c>
      <c r="L193" s="27" t="s">
        <v>486</v>
      </c>
    </row>
    <row r="194" spans="1:12" s="25" customFormat="1" x14ac:dyDescent="0.25">
      <c r="A194" s="4">
        <v>4</v>
      </c>
      <c r="B194" s="5" t="s">
        <v>487</v>
      </c>
      <c r="C194" s="27">
        <v>0.30259999999999998</v>
      </c>
      <c r="D194" s="27">
        <v>22</v>
      </c>
      <c r="E194" s="27">
        <v>8</v>
      </c>
      <c r="F194" s="27">
        <v>45</v>
      </c>
      <c r="G194" s="27">
        <v>413</v>
      </c>
      <c r="H194" s="106">
        <f>C194*D194*10</f>
        <v>66.572000000000003</v>
      </c>
      <c r="I194" s="106"/>
      <c r="J194" s="28">
        <f>C194*E194*10</f>
        <v>24.207999999999998</v>
      </c>
      <c r="K194" s="28">
        <f>C194*F194*10</f>
        <v>136.16999999999999</v>
      </c>
      <c r="L194" s="28">
        <f>C194*G194*10</f>
        <v>1249.7380000000001</v>
      </c>
    </row>
    <row r="195" spans="1:12" s="25" customFormat="1" x14ac:dyDescent="0.25">
      <c r="A195" s="4">
        <v>5</v>
      </c>
      <c r="B195" s="5" t="s">
        <v>488</v>
      </c>
      <c r="C195" s="27">
        <v>0.18149999999999999</v>
      </c>
      <c r="D195" s="27">
        <v>22</v>
      </c>
      <c r="E195" s="27">
        <v>9</v>
      </c>
      <c r="F195" s="27">
        <v>44</v>
      </c>
      <c r="G195" s="27">
        <v>408</v>
      </c>
      <c r="H195" s="107">
        <v>47.98</v>
      </c>
      <c r="I195" s="107"/>
      <c r="J195" s="27">
        <v>13.84</v>
      </c>
      <c r="K195" s="27">
        <v>79.13</v>
      </c>
      <c r="L195" s="27">
        <f>C195*G195*10</f>
        <v>740.52</v>
      </c>
    </row>
    <row r="196" spans="1:12" s="25" customFormat="1" x14ac:dyDescent="0.25">
      <c r="A196" s="4">
        <v>6</v>
      </c>
      <c r="B196" s="5" t="s">
        <v>489</v>
      </c>
      <c r="C196" s="27" t="s">
        <v>490</v>
      </c>
      <c r="D196" s="27" t="s">
        <v>491</v>
      </c>
      <c r="E196" s="27" t="s">
        <v>492</v>
      </c>
      <c r="F196" s="27" t="s">
        <v>493</v>
      </c>
      <c r="G196" s="27" t="s">
        <v>494</v>
      </c>
      <c r="H196" s="107" t="s">
        <v>495</v>
      </c>
      <c r="I196" s="107"/>
      <c r="J196" s="27" t="s">
        <v>496</v>
      </c>
      <c r="K196" s="27" t="s">
        <v>497</v>
      </c>
      <c r="L196" s="27" t="s">
        <v>498</v>
      </c>
    </row>
    <row r="197" spans="1:12" s="25" customFormat="1" x14ac:dyDescent="0.25">
      <c r="A197" s="4">
        <v>7</v>
      </c>
      <c r="B197" s="5" t="s">
        <v>499</v>
      </c>
      <c r="C197" s="9">
        <v>0.187</v>
      </c>
      <c r="D197" s="9" t="s">
        <v>500</v>
      </c>
      <c r="E197" s="9" t="s">
        <v>501</v>
      </c>
      <c r="F197" s="9" t="s">
        <v>502</v>
      </c>
      <c r="G197" s="9" t="s">
        <v>503</v>
      </c>
      <c r="H197" s="94" t="s">
        <v>504</v>
      </c>
      <c r="I197" s="95"/>
      <c r="J197" s="9" t="s">
        <v>505</v>
      </c>
      <c r="K197" s="9" t="s">
        <v>506</v>
      </c>
      <c r="L197" s="9" t="s">
        <v>507</v>
      </c>
    </row>
    <row r="198" spans="1:12" s="25" customFormat="1" x14ac:dyDescent="0.25">
      <c r="A198" s="4">
        <v>8</v>
      </c>
      <c r="B198" s="5" t="s">
        <v>508</v>
      </c>
      <c r="C198" s="27">
        <v>0.18890000000000001</v>
      </c>
      <c r="D198" s="27">
        <v>9</v>
      </c>
      <c r="E198" s="27">
        <v>6</v>
      </c>
      <c r="F198" s="27">
        <v>24</v>
      </c>
      <c r="G198" s="27">
        <v>205</v>
      </c>
      <c r="H198" s="106">
        <f>C198*D198*10</f>
        <v>17.001000000000001</v>
      </c>
      <c r="I198" s="106"/>
      <c r="J198" s="28">
        <f>C198*E198*10</f>
        <v>11.334</v>
      </c>
      <c r="K198" s="28">
        <f>C198*F198*10</f>
        <v>45.335999999999999</v>
      </c>
      <c r="L198" s="28">
        <f>C198*G198*10</f>
        <v>387.245</v>
      </c>
    </row>
    <row r="199" spans="1:12" s="25" customFormat="1" x14ac:dyDescent="0.25">
      <c r="A199" s="4">
        <v>9</v>
      </c>
      <c r="B199" s="5" t="s">
        <v>509</v>
      </c>
      <c r="C199" s="9" t="s">
        <v>510</v>
      </c>
      <c r="D199" s="9" t="s">
        <v>511</v>
      </c>
      <c r="E199" s="9" t="s">
        <v>512</v>
      </c>
      <c r="F199" s="9" t="s">
        <v>513</v>
      </c>
      <c r="G199" s="9" t="s">
        <v>514</v>
      </c>
      <c r="H199" s="94" t="s">
        <v>515</v>
      </c>
      <c r="I199" s="95"/>
      <c r="J199" s="9" t="s">
        <v>516</v>
      </c>
      <c r="K199" s="9" t="s">
        <v>517</v>
      </c>
      <c r="L199" s="9" t="s">
        <v>518</v>
      </c>
    </row>
    <row r="200" spans="1:12" s="25" customFormat="1" x14ac:dyDescent="0.25">
      <c r="A200" s="4">
        <v>10</v>
      </c>
      <c r="B200" s="5" t="s">
        <v>519</v>
      </c>
      <c r="C200" s="27">
        <v>0.129</v>
      </c>
      <c r="D200" s="27" t="s">
        <v>520</v>
      </c>
      <c r="E200" s="27" t="s">
        <v>521</v>
      </c>
      <c r="F200" s="27" t="s">
        <v>522</v>
      </c>
      <c r="G200" s="27" t="s">
        <v>523</v>
      </c>
      <c r="H200" s="107" t="s">
        <v>524</v>
      </c>
      <c r="I200" s="107"/>
      <c r="J200" s="27" t="s">
        <v>38</v>
      </c>
      <c r="K200" s="27" t="s">
        <v>525</v>
      </c>
      <c r="L200" s="27" t="s">
        <v>526</v>
      </c>
    </row>
    <row r="201" spans="1:12" s="25" customFormat="1" x14ac:dyDescent="0.25">
      <c r="A201" s="4">
        <v>11</v>
      </c>
      <c r="B201" s="5" t="s">
        <v>527</v>
      </c>
      <c r="C201" s="27">
        <v>0.20830000000000001</v>
      </c>
      <c r="D201" s="27">
        <v>13</v>
      </c>
      <c r="E201" s="27">
        <v>3</v>
      </c>
      <c r="F201" s="27">
        <v>33</v>
      </c>
      <c r="G201" s="27">
        <v>264</v>
      </c>
      <c r="H201" s="106">
        <f>C201*D201*10</f>
        <v>27.079000000000001</v>
      </c>
      <c r="I201" s="106"/>
      <c r="J201" s="28">
        <f>C201*E201*10</f>
        <v>6.2490000000000006</v>
      </c>
      <c r="K201" s="28">
        <f>C201*F201*10</f>
        <v>68.739000000000004</v>
      </c>
      <c r="L201" s="28">
        <f>C201*G201*10</f>
        <v>549.91200000000003</v>
      </c>
    </row>
    <row r="202" spans="1:12" s="25" customFormat="1" x14ac:dyDescent="0.25">
      <c r="A202" s="4">
        <v>12</v>
      </c>
      <c r="B202" s="5" t="s">
        <v>528</v>
      </c>
      <c r="C202" s="27">
        <v>0.14369999999999999</v>
      </c>
      <c r="D202" s="27">
        <v>9</v>
      </c>
      <c r="E202" s="27">
        <v>3</v>
      </c>
      <c r="F202" s="27">
        <v>22</v>
      </c>
      <c r="G202" s="27">
        <v>179</v>
      </c>
      <c r="H202" s="106">
        <f>C202*D202*10</f>
        <v>12.933</v>
      </c>
      <c r="I202" s="106"/>
      <c r="J202" s="28">
        <f>C202*E202*10</f>
        <v>4.3109999999999999</v>
      </c>
      <c r="K202" s="28">
        <f>C202*F202*10</f>
        <v>31.614000000000001</v>
      </c>
      <c r="L202" s="28">
        <f>C202*G202*10</f>
        <v>257.22300000000001</v>
      </c>
    </row>
    <row r="203" spans="1:12" s="25" customFormat="1" x14ac:dyDescent="0.25">
      <c r="A203" s="10">
        <v>13</v>
      </c>
      <c r="B203" s="11" t="s">
        <v>529</v>
      </c>
      <c r="C203" s="59">
        <v>0.24099999999999999</v>
      </c>
      <c r="D203" s="39">
        <v>16</v>
      </c>
      <c r="E203" s="39">
        <v>6</v>
      </c>
      <c r="F203" s="39">
        <v>47</v>
      </c>
      <c r="G203" s="39">
        <v>355</v>
      </c>
      <c r="H203" s="147">
        <f>C203*D203*10</f>
        <v>38.56</v>
      </c>
      <c r="I203" s="147"/>
      <c r="J203" s="39">
        <f>C203*E203*10</f>
        <v>14.459999999999999</v>
      </c>
      <c r="K203" s="39">
        <f>C203*F203*10</f>
        <v>113.27</v>
      </c>
      <c r="L203" s="39">
        <f>C203*G203*10</f>
        <v>855.55</v>
      </c>
    </row>
    <row r="204" spans="1:12" s="25" customFormat="1" x14ac:dyDescent="0.25">
      <c r="A204" s="10">
        <v>14</v>
      </c>
      <c r="B204" s="11" t="s">
        <v>530</v>
      </c>
      <c r="C204" s="59">
        <v>0.2462</v>
      </c>
      <c r="D204" s="39">
        <v>6</v>
      </c>
      <c r="E204" s="39">
        <v>2</v>
      </c>
      <c r="F204" s="39">
        <v>18</v>
      </c>
      <c r="G204" s="39">
        <v>130</v>
      </c>
      <c r="H204" s="147">
        <f t="shared" ref="H204:H208" si="43">D204*C204*10</f>
        <v>14.772</v>
      </c>
      <c r="I204" s="147"/>
      <c r="J204" s="52">
        <f t="shared" ref="J204:J208" si="44">E204*C204*10</f>
        <v>4.9240000000000004</v>
      </c>
      <c r="K204" s="52">
        <f t="shared" ref="K204:K208" si="45">F204*C204*10</f>
        <v>44.316000000000003</v>
      </c>
      <c r="L204" s="52">
        <f t="shared" ref="L204:L208" si="46">G204*C204*10</f>
        <v>320.06</v>
      </c>
    </row>
    <row r="205" spans="1:12" s="25" customFormat="1" ht="22.5" x14ac:dyDescent="0.25">
      <c r="A205" s="10">
        <v>15</v>
      </c>
      <c r="B205" s="11" t="s">
        <v>531</v>
      </c>
      <c r="C205" s="59">
        <v>0.19600000000000001</v>
      </c>
      <c r="D205" s="39">
        <v>5</v>
      </c>
      <c r="E205" s="39">
        <v>4</v>
      </c>
      <c r="F205" s="39">
        <v>29</v>
      </c>
      <c r="G205" s="39">
        <v>175</v>
      </c>
      <c r="H205" s="147">
        <f t="shared" si="43"/>
        <v>9.8000000000000007</v>
      </c>
      <c r="I205" s="147"/>
      <c r="J205" s="52">
        <f t="shared" si="44"/>
        <v>7.84</v>
      </c>
      <c r="K205" s="52">
        <f t="shared" si="45"/>
        <v>56.84</v>
      </c>
      <c r="L205" s="52">
        <f t="shared" si="46"/>
        <v>343.00000000000006</v>
      </c>
    </row>
    <row r="206" spans="1:12" s="25" customFormat="1" x14ac:dyDescent="0.25">
      <c r="A206" s="10">
        <v>16</v>
      </c>
      <c r="B206" s="11" t="s">
        <v>533</v>
      </c>
      <c r="C206" s="59">
        <v>0.15160000000000001</v>
      </c>
      <c r="D206" s="39">
        <v>4</v>
      </c>
      <c r="E206" s="39">
        <v>1</v>
      </c>
      <c r="F206" s="39">
        <v>9</v>
      </c>
      <c r="G206" s="39">
        <v>75</v>
      </c>
      <c r="H206" s="153">
        <f t="shared" si="43"/>
        <v>6.0640000000000001</v>
      </c>
      <c r="I206" s="153"/>
      <c r="J206" s="52">
        <f t="shared" si="44"/>
        <v>1.516</v>
      </c>
      <c r="K206" s="52">
        <f t="shared" si="45"/>
        <v>13.644</v>
      </c>
      <c r="L206" s="52">
        <f t="shared" si="46"/>
        <v>113.70000000000002</v>
      </c>
    </row>
    <row r="207" spans="1:12" s="25" customFormat="1" x14ac:dyDescent="0.25">
      <c r="A207" s="10">
        <v>17</v>
      </c>
      <c r="B207" s="11" t="s">
        <v>572</v>
      </c>
      <c r="C207" s="59">
        <v>0.127</v>
      </c>
      <c r="D207" s="39">
        <v>26</v>
      </c>
      <c r="E207" s="39">
        <v>6.5</v>
      </c>
      <c r="F207" s="39">
        <v>48</v>
      </c>
      <c r="G207" s="39">
        <v>450</v>
      </c>
      <c r="H207" s="147">
        <f t="shared" si="43"/>
        <v>33.020000000000003</v>
      </c>
      <c r="I207" s="147"/>
      <c r="J207" s="52">
        <f t="shared" si="44"/>
        <v>8.2550000000000008</v>
      </c>
      <c r="K207" s="52">
        <f t="shared" si="45"/>
        <v>60.96</v>
      </c>
      <c r="L207" s="52">
        <f t="shared" si="46"/>
        <v>571.5</v>
      </c>
    </row>
    <row r="208" spans="1:12" s="25" customFormat="1" x14ac:dyDescent="0.25">
      <c r="A208" s="60">
        <v>18</v>
      </c>
      <c r="B208" s="61" t="s">
        <v>534</v>
      </c>
      <c r="C208" s="62">
        <v>0.6341</v>
      </c>
      <c r="D208" s="63">
        <v>13</v>
      </c>
      <c r="E208" s="63">
        <v>4.5</v>
      </c>
      <c r="F208" s="63">
        <v>30</v>
      </c>
      <c r="G208" s="63">
        <v>250</v>
      </c>
      <c r="H208" s="73">
        <f t="shared" si="43"/>
        <v>82.432999999999993</v>
      </c>
      <c r="I208" s="73"/>
      <c r="J208" s="65">
        <f t="shared" si="44"/>
        <v>28.534500000000001</v>
      </c>
      <c r="K208" s="65">
        <f t="shared" si="45"/>
        <v>190.23</v>
      </c>
      <c r="L208" s="65">
        <f t="shared" si="46"/>
        <v>1585.25</v>
      </c>
    </row>
    <row r="209" spans="1:12" s="25" customFormat="1" x14ac:dyDescent="0.25">
      <c r="A209" s="60">
        <v>19</v>
      </c>
      <c r="B209" s="61" t="s">
        <v>571</v>
      </c>
      <c r="C209" s="62">
        <v>0.13150000000000001</v>
      </c>
      <c r="D209" s="64"/>
      <c r="E209" s="64"/>
      <c r="F209" s="64"/>
      <c r="G209" s="64">
        <v>15</v>
      </c>
      <c r="H209" s="73"/>
      <c r="I209" s="73"/>
      <c r="J209" s="65"/>
      <c r="K209" s="65"/>
      <c r="L209" s="65">
        <f t="shared" ref="L209" si="47">G209*C209*10</f>
        <v>19.725000000000001</v>
      </c>
    </row>
    <row r="210" spans="1:12" s="25" customFormat="1" x14ac:dyDescent="0.25">
      <c r="A210" s="60">
        <v>20</v>
      </c>
      <c r="B210" s="61" t="s">
        <v>573</v>
      </c>
      <c r="C210" s="62">
        <v>0.20499999999999999</v>
      </c>
      <c r="D210" s="64"/>
      <c r="E210" s="64"/>
      <c r="F210" s="64"/>
      <c r="G210" s="64">
        <v>35</v>
      </c>
      <c r="H210" s="73"/>
      <c r="I210" s="73"/>
      <c r="J210" s="65"/>
      <c r="K210" s="65"/>
      <c r="L210" s="65">
        <f t="shared" ref="L210" si="48">G210*C210*10</f>
        <v>71.75</v>
      </c>
    </row>
    <row r="211" spans="1:12" s="25" customFormat="1" x14ac:dyDescent="0.25">
      <c r="A211" s="60">
        <v>21</v>
      </c>
      <c r="B211" s="61" t="s">
        <v>574</v>
      </c>
      <c r="C211" s="62">
        <v>0.19800000000000001</v>
      </c>
      <c r="D211" s="64">
        <v>0.1</v>
      </c>
      <c r="E211" s="64">
        <v>0.1</v>
      </c>
      <c r="F211" s="64">
        <v>1</v>
      </c>
      <c r="G211" s="64">
        <v>5</v>
      </c>
      <c r="H211" s="73">
        <f>D211*C211*10</f>
        <v>0.19800000000000001</v>
      </c>
      <c r="I211" s="73"/>
      <c r="J211" s="65">
        <f>C211*E211*10</f>
        <v>0.19800000000000001</v>
      </c>
      <c r="K211" s="65">
        <f>F211*C211*10</f>
        <v>1.98</v>
      </c>
      <c r="L211" s="65">
        <f>G211*C211*10</f>
        <v>9.9</v>
      </c>
    </row>
    <row r="212" spans="1:12" s="25" customFormat="1" x14ac:dyDescent="0.25">
      <c r="A212" s="60">
        <v>22</v>
      </c>
      <c r="B212" s="61" t="s">
        <v>575</v>
      </c>
      <c r="C212" s="62">
        <v>0.28860000000000002</v>
      </c>
      <c r="D212" s="64">
        <v>2</v>
      </c>
      <c r="E212" s="64">
        <v>1</v>
      </c>
      <c r="F212" s="64">
        <v>4.5</v>
      </c>
      <c r="G212" s="64">
        <v>40</v>
      </c>
      <c r="H212" s="73">
        <f>D212*C212*10</f>
        <v>5.7720000000000002</v>
      </c>
      <c r="I212" s="73"/>
      <c r="J212" s="65">
        <f>C212*E212*10</f>
        <v>2.8860000000000001</v>
      </c>
      <c r="K212" s="65">
        <f>F212*C212*10</f>
        <v>12.987000000000002</v>
      </c>
      <c r="L212" s="65">
        <f>G212*C212*10</f>
        <v>115.44</v>
      </c>
    </row>
    <row r="213" spans="1:12" s="25" customFormat="1" ht="22.5" x14ac:dyDescent="0.25">
      <c r="A213" s="60">
        <v>23</v>
      </c>
      <c r="B213" s="61" t="s">
        <v>576</v>
      </c>
      <c r="C213" s="62">
        <v>0.13500000000000001</v>
      </c>
      <c r="D213" s="64">
        <v>0.1</v>
      </c>
      <c r="E213" s="64">
        <v>0.1</v>
      </c>
      <c r="F213" s="64">
        <v>1</v>
      </c>
      <c r="G213" s="64">
        <v>5</v>
      </c>
      <c r="H213" s="73">
        <f>D213*C213*10</f>
        <v>0.13500000000000001</v>
      </c>
      <c r="I213" s="73"/>
      <c r="J213" s="65">
        <f>C213*E213*10</f>
        <v>0.13500000000000001</v>
      </c>
      <c r="K213" s="65">
        <f>F213*C213*10</f>
        <v>1.35</v>
      </c>
      <c r="L213" s="65">
        <f>G213*C213*10</f>
        <v>6.75</v>
      </c>
    </row>
  </sheetData>
  <mergeCells count="214">
    <mergeCell ref="H74:I74"/>
    <mergeCell ref="H75:I75"/>
    <mergeCell ref="H107:I107"/>
    <mergeCell ref="H108:I108"/>
    <mergeCell ref="H122:I122"/>
    <mergeCell ref="H123:I123"/>
    <mergeCell ref="H110:I110"/>
    <mergeCell ref="H111:I111"/>
    <mergeCell ref="H206:I206"/>
    <mergeCell ref="H139:I139"/>
    <mergeCell ref="H204:I204"/>
    <mergeCell ref="H205:I205"/>
    <mergeCell ref="H161:I161"/>
    <mergeCell ref="H162:I162"/>
    <mergeCell ref="H163:I163"/>
    <mergeCell ref="H198:I198"/>
    <mergeCell ref="H199:I199"/>
    <mergeCell ref="H200:I200"/>
    <mergeCell ref="H201:I201"/>
    <mergeCell ref="H136:I136"/>
    <mergeCell ref="H137:I137"/>
    <mergeCell ref="H138:I138"/>
    <mergeCell ref="H140:I140"/>
    <mergeCell ref="A190:L190"/>
    <mergeCell ref="H191:I191"/>
    <mergeCell ref="H164:I164"/>
    <mergeCell ref="H165:I165"/>
    <mergeCell ref="H166:I166"/>
    <mergeCell ref="H167:I167"/>
    <mergeCell ref="H153:I153"/>
    <mergeCell ref="H154:I154"/>
    <mergeCell ref="H155:I155"/>
    <mergeCell ref="H156:I156"/>
    <mergeCell ref="H157:I157"/>
    <mergeCell ref="H158:I158"/>
    <mergeCell ref="H172:I172"/>
    <mergeCell ref="A130:L130"/>
    <mergeCell ref="H131:I131"/>
    <mergeCell ref="H132:I132"/>
    <mergeCell ref="H133:I133"/>
    <mergeCell ref="H134:I134"/>
    <mergeCell ref="A135:L135"/>
    <mergeCell ref="H189:I189"/>
    <mergeCell ref="H183:I183"/>
    <mergeCell ref="H184:I184"/>
    <mergeCell ref="H185:I185"/>
    <mergeCell ref="H186:I186"/>
    <mergeCell ref="H187:I187"/>
    <mergeCell ref="H188:I188"/>
    <mergeCell ref="H173:I173"/>
    <mergeCell ref="H179:I179"/>
    <mergeCell ref="A180:L180"/>
    <mergeCell ref="H181:I181"/>
    <mergeCell ref="H182:I182"/>
    <mergeCell ref="H159:I159"/>
    <mergeCell ref="H160:I160"/>
    <mergeCell ref="H168:I168"/>
    <mergeCell ref="H169:I169"/>
    <mergeCell ref="H170:I170"/>
    <mergeCell ref="H171:I171"/>
    <mergeCell ref="H147:I147"/>
    <mergeCell ref="H148:I148"/>
    <mergeCell ref="H149:I149"/>
    <mergeCell ref="H150:I150"/>
    <mergeCell ref="H151:I151"/>
    <mergeCell ref="H152:I152"/>
    <mergeCell ref="A141:L141"/>
    <mergeCell ref="H142:I142"/>
    <mergeCell ref="H143:I143"/>
    <mergeCell ref="H144:I144"/>
    <mergeCell ref="H145:I145"/>
    <mergeCell ref="H146:I146"/>
    <mergeCell ref="H118:I118"/>
    <mergeCell ref="H119:I119"/>
    <mergeCell ref="H120:I120"/>
    <mergeCell ref="H121:I121"/>
    <mergeCell ref="H124:I124"/>
    <mergeCell ref="H129:I129"/>
    <mergeCell ref="H125:I125"/>
    <mergeCell ref="H105:I105"/>
    <mergeCell ref="H106:I106"/>
    <mergeCell ref="H109:I109"/>
    <mergeCell ref="H115:I115"/>
    <mergeCell ref="A116:L116"/>
    <mergeCell ref="H117:I117"/>
    <mergeCell ref="H113:I113"/>
    <mergeCell ref="H114:I114"/>
    <mergeCell ref="H126:I126"/>
    <mergeCell ref="H127:I127"/>
    <mergeCell ref="H128:I128"/>
    <mergeCell ref="H112:I112"/>
    <mergeCell ref="H99:I99"/>
    <mergeCell ref="H100:I100"/>
    <mergeCell ref="H101:I101"/>
    <mergeCell ref="H102:I102"/>
    <mergeCell ref="H103:I103"/>
    <mergeCell ref="H104:I104"/>
    <mergeCell ref="H93:I93"/>
    <mergeCell ref="H94:I94"/>
    <mergeCell ref="H95:I95"/>
    <mergeCell ref="H96:I96"/>
    <mergeCell ref="H97:I97"/>
    <mergeCell ref="H98:I98"/>
    <mergeCell ref="H86:I86"/>
    <mergeCell ref="H87:I87"/>
    <mergeCell ref="H88:I88"/>
    <mergeCell ref="H89:I89"/>
    <mergeCell ref="H90:I90"/>
    <mergeCell ref="H91:I91"/>
    <mergeCell ref="H76:I76"/>
    <mergeCell ref="H81:I81"/>
    <mergeCell ref="A82:L82"/>
    <mergeCell ref="H83:I83"/>
    <mergeCell ref="H84:I84"/>
    <mergeCell ref="H85:I85"/>
    <mergeCell ref="H77:I77"/>
    <mergeCell ref="H78:I78"/>
    <mergeCell ref="H79:I79"/>
    <mergeCell ref="H80:I80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A56:L56"/>
    <mergeCell ref="H57:I57"/>
    <mergeCell ref="H58:I58"/>
    <mergeCell ref="H59:I59"/>
    <mergeCell ref="H60:I60"/>
    <mergeCell ref="H61:I61"/>
    <mergeCell ref="H49:I49"/>
    <mergeCell ref="H50:I50"/>
    <mergeCell ref="H51:I51"/>
    <mergeCell ref="H52:I52"/>
    <mergeCell ref="H53:I53"/>
    <mergeCell ref="H55:I55"/>
    <mergeCell ref="H54:I54"/>
    <mergeCell ref="A43:L43"/>
    <mergeCell ref="H44:I44"/>
    <mergeCell ref="H45:I45"/>
    <mergeCell ref="H46:I46"/>
    <mergeCell ref="H47:I47"/>
    <mergeCell ref="H48:I48"/>
    <mergeCell ref="H33:I33"/>
    <mergeCell ref="H34:I34"/>
    <mergeCell ref="H35:I35"/>
    <mergeCell ref="H36:I36"/>
    <mergeCell ref="H37:I37"/>
    <mergeCell ref="H42:I42"/>
    <mergeCell ref="H38:I38"/>
    <mergeCell ref="H39:I39"/>
    <mergeCell ref="H40:I40"/>
    <mergeCell ref="H41:I41"/>
    <mergeCell ref="H27:I27"/>
    <mergeCell ref="H28:I28"/>
    <mergeCell ref="H29:I29"/>
    <mergeCell ref="H30:I30"/>
    <mergeCell ref="H31:I31"/>
    <mergeCell ref="H32:I32"/>
    <mergeCell ref="H21:I21"/>
    <mergeCell ref="H22:I22"/>
    <mergeCell ref="H23:I23"/>
    <mergeCell ref="H24:I24"/>
    <mergeCell ref="H25:I25"/>
    <mergeCell ref="H26:I26"/>
    <mergeCell ref="H15:I15"/>
    <mergeCell ref="H16:I16"/>
    <mergeCell ref="H17:I17"/>
    <mergeCell ref="H18:I18"/>
    <mergeCell ref="H19:I19"/>
    <mergeCell ref="H20:I20"/>
    <mergeCell ref="H9:L9"/>
    <mergeCell ref="A10:L10"/>
    <mergeCell ref="H11:I11"/>
    <mergeCell ref="H12:I12"/>
    <mergeCell ref="H13:I13"/>
    <mergeCell ref="H14:I14"/>
    <mergeCell ref="I1:L3"/>
    <mergeCell ref="A2:H2"/>
    <mergeCell ref="A3:H3"/>
    <mergeCell ref="A5:L5"/>
    <mergeCell ref="A7:A9"/>
    <mergeCell ref="B7:B9"/>
    <mergeCell ref="C7:C9"/>
    <mergeCell ref="H7:I7"/>
    <mergeCell ref="D8:L8"/>
    <mergeCell ref="D9:G9"/>
    <mergeCell ref="H213:I213"/>
    <mergeCell ref="H174:I174"/>
    <mergeCell ref="H175:I175"/>
    <mergeCell ref="H176:I176"/>
    <mergeCell ref="H177:I177"/>
    <mergeCell ref="H178:I178"/>
    <mergeCell ref="H209:I209"/>
    <mergeCell ref="H210:I210"/>
    <mergeCell ref="H211:I211"/>
    <mergeCell ref="H212:I212"/>
    <mergeCell ref="H202:I202"/>
    <mergeCell ref="H203:I203"/>
    <mergeCell ref="H192:I192"/>
    <mergeCell ref="H193:I193"/>
    <mergeCell ref="H194:I194"/>
    <mergeCell ref="H195:I195"/>
    <mergeCell ref="H196:I196"/>
    <mergeCell ref="H197:I197"/>
    <mergeCell ref="H208:I208"/>
    <mergeCell ref="H207:I207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Mariya Belyaeva</cp:lastModifiedBy>
  <cp:lastPrinted>2025-02-11T14:31:36Z</cp:lastPrinted>
  <dcterms:created xsi:type="dcterms:W3CDTF">2024-02-05T13:57:59Z</dcterms:created>
  <dcterms:modified xsi:type="dcterms:W3CDTF">2025-02-11T14:34:16Z</dcterms:modified>
</cp:coreProperties>
</file>